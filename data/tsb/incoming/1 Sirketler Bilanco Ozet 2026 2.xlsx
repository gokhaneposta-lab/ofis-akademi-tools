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yildizg\Desktop\"/>
    </mc:Choice>
  </mc:AlternateContent>
  <xr:revisionPtr revIDLastSave="0" documentId="13_ncr:1_{8B4E34B2-45D2-464B-B01D-1B9E772CD55E}" xr6:coauthVersionLast="47" xr6:coauthVersionMax="47" xr10:uidLastSave="{00000000-0000-0000-0000-000000000000}"/>
  <bookViews>
    <workbookView xWindow="-120" yWindow="-120" windowWidth="29040" windowHeight="15720" xr2:uid="{425690D7-CDAA-4123-885A-E33C6AA42A74}"/>
  </bookViews>
  <sheets>
    <sheet name="Bilanço" sheetId="2" r:id="rId1"/>
    <sheet name="Aktif Detay" sheetId="3" r:id="rId2"/>
    <sheet name="Aktif Ozet" sheetId="4" r:id="rId3"/>
    <sheet name="Pasif Detay" sheetId="5" r:id="rId4"/>
    <sheet name="Pasif Ozet" sheetId="6" r:id="rId5"/>
  </sheets>
  <externalReferences>
    <externalReference r:id="rId6"/>
    <externalReference r:id="rId7"/>
  </externalReferences>
  <definedNames>
    <definedName name="_1J_INV_INC_REIN_AC____?0?˜?“0000____?0?˜?“0000?_?”?_?“?“__?“?0?”00000">#REF!</definedName>
    <definedName name="AFFCOMM_ALIEN_DIFF">#REF!</definedName>
    <definedName name="AFFCOMM_ALIEN_STMT_TOT_COMM">#REF!</definedName>
    <definedName name="AFFCOMM_ALIEN_TOT_REP">#REF!</definedName>
    <definedName name="AFFCOMM_ASCII_DATA">#REF!</definedName>
    <definedName name="AFFCOMM_ASCII_FORMAT">#REF!</definedName>
    <definedName name="AFFCOMM_INV_SUB_DIFF">#REF!</definedName>
    <definedName name="AFFCOMM_INV_SUB_STMT_TOT_COMM">#REF!</definedName>
    <definedName name="AFFCOMM_INV_SUB_TOT_REP">#REF!</definedName>
    <definedName name="AFFCOMM_LIFE_DIFF">#REF!</definedName>
    <definedName name="AFFCOMM_LIFE_STMT_TOT_COMM">#REF!</definedName>
    <definedName name="AFFCOMM_LIFE_TOT_REP">#REF!</definedName>
    <definedName name="AFFCOMM_NON_INS_DIFF">#REF!</definedName>
    <definedName name="AFFCOMM_NON_INS_STMT_TOT_COMM">#REF!</definedName>
    <definedName name="AFFCOMM_NON_INS_TOT_REP">#REF!</definedName>
    <definedName name="AFFCOMM_OTH_AFFIL_DIFF">#REF!</definedName>
    <definedName name="AFFCOMM_OTH_AFFIL_STMT_TOT_COMM">#REF!</definedName>
    <definedName name="AFFCOMM_OTH_AFFIL_TOT_REP">#REF!</definedName>
    <definedName name="AFFCOMM_PARENT_DIFF">#REF!</definedName>
    <definedName name="AFFCOMM_PARENT_STMT_TOT">#REF!</definedName>
    <definedName name="AFFCOMM_PARENT_TOT_REP">#REF!</definedName>
    <definedName name="AFFCOMM_PC_DIFF">#REF!</definedName>
    <definedName name="AFFCOMM_PC_STMT_TOT_COMM">#REF!</definedName>
    <definedName name="AFFCOMM_PC_TOT_REP">#REF!</definedName>
    <definedName name="AFFCOMM_SUBTOT_DIFF">#REF!</definedName>
    <definedName name="AFFCOMM_SUBTOT_STMT_TOT_COMM">#REF!</definedName>
    <definedName name="AFFCOMM_SUBTOT_TOT_REP">#REF!</definedName>
    <definedName name="AFFPREF_AFFIL_BOND_DIFF">#REF!</definedName>
    <definedName name="AFFPREF_AFFIL_BOND_STMT_TOT_PREF">#REF!</definedName>
    <definedName name="AFFPREF_AFFIL_BOND_TOT_REP">#REF!</definedName>
    <definedName name="AFFPREF_ALIEN_INS_DIFF">#REF!</definedName>
    <definedName name="AFFPREF_ALIEN_INS_STMT_TOT_PREF">#REF!</definedName>
    <definedName name="AFFPREF_ALIEN_INS_TOT_REP">#REF!</definedName>
    <definedName name="AFFPREF_ASCII_DATA">#REF!</definedName>
    <definedName name="AFFPREF_ASCII_FORMAT">#REF!</definedName>
    <definedName name="AFFPREF_INV_SUB_DIFF">#REF!</definedName>
    <definedName name="AFFPREF_INV_SUB_STMT_TOT_PREF">#REF!</definedName>
    <definedName name="AFFPREF_INV_SUB_TOT_REP">#REF!</definedName>
    <definedName name="AFFPREF_LIFE_DIFF">#REF!</definedName>
    <definedName name="AFFPREF_LIFE_STMT_TOT_PREF">#REF!</definedName>
    <definedName name="AFFPREF_LIFE_TOT_REP">#REF!</definedName>
    <definedName name="AFFPREF_NON_INS_DIFF">#REF!</definedName>
    <definedName name="AFFPREF_NON_INS_STMT_TOT_PREF">#REF!</definedName>
    <definedName name="AFFPREF_NON_INS_TOT_REP">#REF!</definedName>
    <definedName name="AFFPREF_OTH_AFFIL_DIFF">#REF!</definedName>
    <definedName name="AFFPREF_OTH_AFFIL_STMT_TOT_PREF">#REF!</definedName>
    <definedName name="AFFPREF_OTH_AFFIL_TOT_REP">#REF!</definedName>
    <definedName name="AFFPREF_PARENT_DIFF">#REF!</definedName>
    <definedName name="AFFPREF_PARENT_STMT_TOT_PREF">#REF!</definedName>
    <definedName name="AFFPREF_PARENT_TOT_REP">#REF!</definedName>
    <definedName name="AFFPREF_PC_DIFF">#REF!</definedName>
    <definedName name="AFFPREF_PC_STMT_TOT_PREF">#REF!</definedName>
    <definedName name="AFFPREF_PC_TOT_REP">#REF!</definedName>
    <definedName name="AFFPREF_SUBTOT_DIFF">#REF!</definedName>
    <definedName name="AFFPREF_SUBTOT_STMT_TOT_PREF">#REF!</definedName>
    <definedName name="AFFPREF_SUBTOT_TOT_REP">#REF!</definedName>
    <definedName name="AFFSUM_ASCII_DATA">#REF!</definedName>
    <definedName name="AFFSUM_ASCII_FORMAT">#REF!</definedName>
    <definedName name="AFFSUM_DIR_LIFE_REQ">#REF!</definedName>
    <definedName name="AFFSUM_DIR_LIFE_REQ_AFFIL_PREF">#REF!</definedName>
    <definedName name="AFFSUM_DIR_LIFE_REQ_COM_STK">#REF!</definedName>
    <definedName name="AFFSUM_DIR_LIFE_TOT_REQ">#REF!</definedName>
    <definedName name="AFFSUM_DIR_PC_REQ">#REF!</definedName>
    <definedName name="AFFSUM_DIR_PC_REQ_AFFIL_PREF">#REF!</definedName>
    <definedName name="AFFSUM_DIR_PC_REQ_COM_STK">#REF!</definedName>
    <definedName name="AFFSUM_DIR_PC_TOT_REQ">#REF!</definedName>
    <definedName name="AFFSUM_TOT_REQ">#REF!</definedName>
    <definedName name="AFFSUM_TOT_REQ_AFFIL_PREF">#REF!</definedName>
    <definedName name="AltBranslar">'[1]Branş Kırılımlı Analiz'!$BF$3:$BF$52</definedName>
    <definedName name="AnaBranşlar">'[1]Branş Kırılımlı Analiz (2)'!$BF$3:$BF$29</definedName>
    <definedName name="ap">#REF!</definedName>
    <definedName name="ASST_CONC_EQUITY">[2]PR010!#REF!</definedName>
    <definedName name="Banka_Listesi">#REF!</definedName>
    <definedName name="CCK_ENTRY_REIN_ADJ">[2]PROTH!#REF!</definedName>
    <definedName name="CCK_ENTRY_REIN_ADJ_0799">[2]PROTH!#REF!</definedName>
    <definedName name="CCK_ENTRY_REIN_ADJ_1699">[2]PROTH!#REF!</definedName>
    <definedName name="CCK_ENTRY_UW_EXPEN">[2]PROTH!#REF!</definedName>
    <definedName name="CCK_MED_DISC_AUTO">[2]PROTH!#REF!</definedName>
    <definedName name="CCK_MED_DISC_CA_LIAB">[2]PROTH!#REF!</definedName>
    <definedName name="CCK_MED_DISC_COM_MP">[2]PROTH!#REF!</definedName>
    <definedName name="CCK_MED_DISC_FG_MG">[2]PROTH!#REF!</definedName>
    <definedName name="CCK_MED_DISC_FID_SURE">[2]PROTH!#REF!</definedName>
    <definedName name="CCK_MED_DISC_HO_FO">[2]PROTH!#REF!</definedName>
    <definedName name="CCK_MED_DISC_INTL">[2]PROTH!#REF!</definedName>
    <definedName name="CCK_MED_DISC_MM_CM">[2]PROTH!#REF!</definedName>
    <definedName name="CCK_MED_DISC_MM_OCCR">[2]PROTH!#REF!</definedName>
    <definedName name="CCK_MED_DISC_OL_CM">[2]PROTH!#REF!</definedName>
    <definedName name="CCK_MED_DISC_OL_OCC">[2]PROTH!#REF!</definedName>
    <definedName name="CCK_MED_DISC_OTHER">[2]PROTH!#REF!</definedName>
    <definedName name="CCK_MED_DISC_PL_CM">[2]PROTH!#REF!</definedName>
    <definedName name="CCK_MED_DISC_PL_OCC">[2]PROTH!#REF!</definedName>
    <definedName name="CCK_MED_DISC_PPA_LIAB">[2]PROTH!#REF!</definedName>
    <definedName name="CCK_MED_DISC_REIN_A">[2]PROTH!#REF!</definedName>
    <definedName name="CCK_MED_DISC_REIN_B">[2]PROTH!#REF!</definedName>
    <definedName name="CCK_MED_DISC_REIN_C">[2]PROTH!#REF!</definedName>
    <definedName name="CCK_MED_DISC_SP">[2]PROTH!#REF!</definedName>
    <definedName name="CCK_MED_DISC_SPEC_LIAB">[2]PROTH!#REF!</definedName>
    <definedName name="CCK_MED_DISC_TOTAL">[2]PROTH!#REF!</definedName>
    <definedName name="CCK_MED_DISC_WC">[2]PROTH!#REF!</definedName>
    <definedName name="COV18_ASCII_DATA">[2]PR025!#REF!</definedName>
    <definedName name="COV18_ASCII_FORMAT">[2]PR025!#REF!</definedName>
    <definedName name="COV19_ASCII_DATA">[2]PR025!#REF!</definedName>
    <definedName name="COV19_ASCII_FORMAT">[2]PR025!#REF!</definedName>
    <definedName name="COVELMT_AFFIL_MCO_COMM">[2]PR025!#REF!</definedName>
    <definedName name="COVELMT_AFFIL_MCO_PREF">[2]PR025!#REF!</definedName>
    <definedName name="COVELMT_AFT_COVARIANCE">[2]PR025!#REF!</definedName>
    <definedName name="COVELMT_AGG_WI_AMT">[2]PR025!#REF!</definedName>
    <definedName name="COVELMT_AH_CLM_LCF_AMT">[2]PR025!#REF!</definedName>
    <definedName name="COVELMT_AH_PREM_ADJ_PCF_AMT\">[2]PR025!#REF!</definedName>
    <definedName name="COVELMT_ASST_CON_EQTY_AMT">[2]PR025!#REF!</definedName>
    <definedName name="COVELMT_AUTH_CONT_AMT">[2]PR025!#REF!</definedName>
    <definedName name="COVELMT_COMM_LIFE_NOT_AMT">[2]PR025!#REF!</definedName>
    <definedName name="COVELMT_COMM_NON_AMT">[2]PR025!#REF!</definedName>
    <definedName name="COVELMT_COMM_PC_NOT_AMT">[2]PR025!#REF!</definedName>
    <definedName name="COVELMT_EXC_GRW_LSS_LAE_AMT">[2]PR025!#REF!</definedName>
    <definedName name="COVELMT_EXC_GRW_WTN_PREM_AMT">[2]PR025!#REF!</definedName>
    <definedName name="COVELMT_HALF_CRED_AMT">[2]PR025!#REF!</definedName>
    <definedName name="COVELMT_HALF_REIN_CRED_AMT">[2]PR025!#REF!</definedName>
    <definedName name="COVELMT_HEALTH_CREDIT">[2]PR025!#REF!</definedName>
    <definedName name="COVELMT_HOLD_AMT">[2]PR025!#REF!</definedName>
    <definedName name="COVELMT_INV_PARENT_AMT">[2]PR025!#REF!</definedName>
    <definedName name="COVELMT_INV_SUB_AMT">[2]PR025!#REF!</definedName>
    <definedName name="COVELMT_ONE_CRED_AMT">[2]PR025!#REF!</definedName>
    <definedName name="COVELMT_OTH_HALF_REIN_CRED">[2]PR025!#REF!</definedName>
    <definedName name="COVELMT_PREF_HOLD_AMT">[2]PR025!#REF!</definedName>
    <definedName name="COVELMT_PREF_INV_AMT">[2]PR025!#REF!</definedName>
    <definedName name="COVELMT_PREF_INV_PARENT_AMT">[2]PR025!#REF!</definedName>
    <definedName name="COVELMT_PREF_LIFE_NOT_SUBJ_AMT">[2]PR025!#REF!</definedName>
    <definedName name="COVELMT_PREF_NON_INS_AMT">[2]PR025!#REF!</definedName>
    <definedName name="COVELMT_PREF_PC_NOT_SUBJ_AMT">[2]PR025!#REF!</definedName>
    <definedName name="COVELMT_R2">[2]PR025!#REF!</definedName>
    <definedName name="COVELMT_R3">[2]PR025!#REF!</definedName>
    <definedName name="COVELMT_R4">[2]PR025!#REF!</definedName>
    <definedName name="COVELMT_R5">[2]PR025!#REF!</definedName>
    <definedName name="COVELMT_REAL_EST_AMT">[2]PR025!#REF!</definedName>
    <definedName name="COVELMT_REC_SEC_AMT">[2]PR025!#REF!</definedName>
    <definedName name="COVELMT_SCH_BA_AMT">[2]PR025!#REF!</definedName>
    <definedName name="COVELMT_STABIL_RESERVE">[2]PR025!#REF!</definedName>
    <definedName name="COVELMT_TOT_AFT_COV_AMT">[2]PR025!#REF!</definedName>
    <definedName name="COVELMT_TOT_NWP_AMT">[2]PR025!#REF!</definedName>
    <definedName name="COVELMT_TOT_R2_AMT">[2]PR025!#REF!</definedName>
    <definedName name="COVELMT_TOT_R3_AMT">[2]PR025!#REF!</definedName>
    <definedName name="COVELMT_TOT_R4_AMT">[2]PR025!#REF!</definedName>
    <definedName name="COVELMT_TOT_R5_AMT">[2]PR025!#REF!</definedName>
    <definedName name="COVELMT_TOT_UNPD_LLAE_AMT">[2]PR025!#REF!</definedName>
    <definedName name="COVELMT_UNAFFIL_COMM_AMT">[2]PR025!#REF!</definedName>
    <definedName name="COVELMT_UNAFFIL_PREF_AMT">[2]PR025!#REF!</definedName>
    <definedName name="Difference">#REF!</definedName>
    <definedName name="HAnaBranşlar">'[1]Hayat Branşlar (2)'!$GC$1:$GC$4</definedName>
    <definedName name="HayatBranslar">'[1]Hayat Branşlar'!$KS$1:$KS$10</definedName>
    <definedName name="HDAnaBranşlar">'[1]Hayatdışı Branşlar (2)'!$HL$2:$HL$22</definedName>
    <definedName name="HDBranslar">'[1]Hayatdışı Branşlar'!$KV$1:$KV$74</definedName>
    <definedName name="HEALTH_DIS_GRP_CRED_REQ">[2]PR017!#REF!</definedName>
    <definedName name="HEALTH_DIS_INC_GRP_CRD_EARN_PREM">[2]PR017!#REF!</definedName>
    <definedName name="HEALTH_LSS_CONFACT_REQ">[2]PR017!#REF!</definedName>
    <definedName name="HEALTH_MAJ_DENT_REQ">[2]PR017!#REF!</definedName>
    <definedName name="HEALTH_MED_SUP_EARN_PREM">[2]PR017!#REF!</definedName>
    <definedName name="HEALTH_MED_SUP_OTH_BNFT_REQ">[2]PR017!#REF!</definedName>
    <definedName name="HEALTH_MED_SUP_OTHER_EARN_PREM">[2]PR017!#REF!</definedName>
    <definedName name="HEALTH_USUAL_CUST_DENT_EARN_PREM">[2]PR017!#REF!</definedName>
    <definedName name="Hesaplama">'[1]Branş Kırılımlı Analiz'!$BH$3:$BH$15</definedName>
    <definedName name="HTML_CodePage" hidden="1">9</definedName>
    <definedName name="HTML_Control" hidden="1">{"'Sheet1'!$A$2:$Q$16"}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"C:\Web98\Web\ExcelHTML\INGBransaGorePrimGel.htm"</definedName>
    <definedName name="HTML_Title" hidden="1">""</definedName>
    <definedName name="PPT1_1989_LSS_INC_NET">#REF!</definedName>
    <definedName name="PPT1_1989_PRE_EARN_NET">#REF!</definedName>
    <definedName name="PPT1_1990_LSS_INC_NET">#REF!</definedName>
    <definedName name="PPT1_1990_PRE_EARN_NET">#REF!</definedName>
    <definedName name="PPT1_1991_LSS_INC_NET">#REF!</definedName>
    <definedName name="PPT1_1991_PRE_EARN_NET">#REF!</definedName>
    <definedName name="PPT1_1992_LSS_INC_NET">#REF!</definedName>
    <definedName name="PPT1_1992_PRE_EARN_NET">#REF!</definedName>
    <definedName name="PPT1_1993_LSS_INC_NET">#REF!</definedName>
    <definedName name="PPT1_1993_PRE_EARN_NET">#REF!</definedName>
    <definedName name="PPT1_1994_LSS_INC_NET">#REF!</definedName>
    <definedName name="PPT1_1994_PRE_EARN_NET">#REF!</definedName>
    <definedName name="PPT1_1995_LSS_INC_NET">#REF!</definedName>
    <definedName name="PPT1_1995_PRE_EARN_NET">#REF!</definedName>
    <definedName name="PPT1_1996_LSS_INC_NET">#REF!</definedName>
    <definedName name="PPT1_1996_PRE_EARN_NET">#REF!</definedName>
    <definedName name="PPT1_1997_LSS_INC_NET">#REF!</definedName>
    <definedName name="PPT1_1997_PRE_EARN_NET">#REF!</definedName>
    <definedName name="PPT1_1998_LSS_INC_NET">#REF!</definedName>
    <definedName name="PPT1_1998_PRE_EARN_NET">#REF!</definedName>
    <definedName name="PPT1_ASCII_DATA">#REF!</definedName>
    <definedName name="PPT1_ASCII_FORMAT">#REF!</definedName>
    <definedName name="PPT1_TOTALS_LSS_UNPD">#REF!</definedName>
    <definedName name="PPT1_TOTALS_NONTAB_DSC_LSS">#REF!</definedName>
    <definedName name="PPT1_TOTALS_NONTAB_DSC_LSS_EXP">#REF!</definedName>
    <definedName name="PPT1RS1_1988_LSS_INC_NET">[2]PR119!#REF!</definedName>
    <definedName name="PPT2_1989_11">#REF!</definedName>
    <definedName name="PPT2_1989_2">#REF!</definedName>
    <definedName name="PPT2_1989_3">#REF!</definedName>
    <definedName name="PPT2_1990_11">#REF!</definedName>
    <definedName name="PPT2_1990_3">#REF!</definedName>
    <definedName name="PPT2_1990_4">#REF!</definedName>
    <definedName name="PPT2_1991_11">#REF!</definedName>
    <definedName name="PPT2_1991_4">#REF!</definedName>
    <definedName name="PPT2_1991_5">#REF!</definedName>
    <definedName name="PPT2_1992_11">#REF!</definedName>
    <definedName name="PPT2_1992_5">#REF!</definedName>
    <definedName name="PPT2_1992_6">#REF!</definedName>
    <definedName name="PPT2_1993_11">#REF!</definedName>
    <definedName name="PPT2_1993_7">#REF!</definedName>
    <definedName name="PPT2_1994_11">#REF!</definedName>
    <definedName name="PPT2_1994_7">#REF!</definedName>
    <definedName name="PPT2_1994_8">#REF!</definedName>
    <definedName name="PPT2_1995_11">#REF!</definedName>
    <definedName name="PPT2_1995_8">#REF!</definedName>
    <definedName name="PPT2_1995_9">#REF!</definedName>
    <definedName name="PPT2_1996_10">#REF!</definedName>
    <definedName name="PPT2_1996_11">#REF!</definedName>
    <definedName name="PPT2_1996_9">#REF!</definedName>
    <definedName name="PPT2_1997_10">#REF!</definedName>
    <definedName name="PPT2_1997_11">#REF!</definedName>
    <definedName name="PPT2_ASCII_DATA">#REF!</definedName>
    <definedName name="PPT2_ASCII_FORMAT">#REF!</definedName>
    <definedName name="PPT7BS1_REIN_D_LSS_LAE_UNPD">[2]PR701!#REF!</definedName>
    <definedName name="PR017_19_prnt2">[2]PR025!#REF!</definedName>
    <definedName name="PR017_19_prnt3">[2]PR025!#REF!</definedName>
    <definedName name="PR017_19_prnt4">[2]PR025!#REF!</definedName>
    <definedName name="PR017_19_prnt5">[2]PR025!#REF!</definedName>
    <definedName name="PR100_prnt1">#REF!</definedName>
    <definedName name="PR200_prnt1">#REF!</definedName>
    <definedName name="Print_Area_MI">#REF!</definedName>
    <definedName name="Satış_Kanalı">'[1]Genel(4)'!$DH$1:$DH$92</definedName>
    <definedName name="sirket">#REF!</definedName>
    <definedName name="şirk">#REF!</definedName>
    <definedName name="şirket">#REF!</definedName>
    <definedName name="Şirketler">Bilanço!$BC$3:$BC$80</definedName>
    <definedName name="Tahviller">#REF!</definedName>
    <definedName name="var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C74" i="2"/>
  <c r="F138" i="2"/>
  <c r="F49" i="2"/>
  <c r="C92" i="2"/>
  <c r="F79" i="2"/>
  <c r="C133" i="2"/>
  <c r="C33" i="2"/>
  <c r="F64" i="2"/>
  <c r="F18" i="2"/>
  <c r="F27" i="2"/>
  <c r="C8" i="2"/>
  <c r="C56" i="2"/>
  <c r="F91" i="2"/>
  <c r="C17" i="2"/>
  <c r="F65" i="2"/>
  <c r="C119" i="2"/>
  <c r="C63" i="2"/>
  <c r="F127" i="2"/>
  <c r="F38" i="2"/>
  <c r="C81" i="2"/>
  <c r="F68" i="2"/>
  <c r="C122" i="2"/>
  <c r="C22" i="2"/>
  <c r="F53" i="2"/>
  <c r="C39" i="2"/>
  <c r="C11" i="2"/>
  <c r="F98" i="2"/>
  <c r="F102" i="2"/>
  <c r="F37" i="2"/>
  <c r="F76" i="2"/>
  <c r="C108" i="2"/>
  <c r="C41" i="2"/>
  <c r="F116" i="2"/>
  <c r="C137" i="2"/>
  <c r="C70" i="2"/>
  <c r="F57" i="2"/>
  <c r="C111" i="2"/>
  <c r="F120" i="2"/>
  <c r="F31" i="2"/>
  <c r="C18" i="2"/>
  <c r="F10" i="2"/>
  <c r="F17" i="2"/>
  <c r="F13" i="2"/>
  <c r="F72" i="2"/>
  <c r="C97" i="2"/>
  <c r="C30" i="2"/>
  <c r="F105" i="2"/>
  <c r="C115" i="2"/>
  <c r="C59" i="2"/>
  <c r="F46" i="2"/>
  <c r="C100" i="2"/>
  <c r="F109" i="2"/>
  <c r="F20" i="2"/>
  <c r="C38" i="2"/>
  <c r="C89" i="2"/>
  <c r="F83" i="2"/>
  <c r="F87" i="2"/>
  <c r="C134" i="2"/>
  <c r="C86" i="2"/>
  <c r="C19" i="2"/>
  <c r="F94" i="2"/>
  <c r="C104" i="2"/>
  <c r="F113" i="2"/>
  <c r="F24" i="2"/>
  <c r="C27" i="2"/>
  <c r="C93" i="2"/>
  <c r="C10" i="2"/>
  <c r="C45" i="2"/>
  <c r="C50" i="2"/>
  <c r="C75" i="2"/>
  <c r="C82" i="2"/>
  <c r="C12" i="2"/>
  <c r="F69" i="2"/>
  <c r="F9" i="2"/>
  <c r="F48" i="2"/>
  <c r="C58" i="2"/>
  <c r="C62" i="2"/>
  <c r="F86" i="2"/>
  <c r="F12" i="2"/>
  <c r="C28" i="2"/>
  <c r="C64" i="2"/>
  <c r="F128" i="2"/>
  <c r="C123" i="2"/>
  <c r="C37" i="2"/>
  <c r="F132" i="2"/>
  <c r="F32" i="2"/>
  <c r="F93" i="2"/>
  <c r="F28" i="2"/>
  <c r="C77" i="2"/>
  <c r="F60" i="2"/>
  <c r="F75" i="2"/>
  <c r="C53" i="2"/>
  <c r="F117" i="2"/>
  <c r="F61" i="2"/>
  <c r="C71" i="2"/>
  <c r="F80" i="2"/>
  <c r="F26" i="2"/>
  <c r="C112" i="2"/>
  <c r="C36" i="2"/>
  <c r="F8" i="2"/>
  <c r="F119" i="2"/>
  <c r="F134" i="2"/>
  <c r="C103" i="2"/>
  <c r="F39" i="2"/>
  <c r="C42" i="2"/>
  <c r="F106" i="2"/>
  <c r="C138" i="2"/>
  <c r="C60" i="2"/>
  <c r="F43" i="2"/>
  <c r="F121" i="2"/>
  <c r="C125" i="2"/>
  <c r="C129" i="2"/>
  <c r="C21" i="2"/>
  <c r="F123" i="2"/>
  <c r="C31" i="2"/>
  <c r="F95" i="2"/>
  <c r="C127" i="2"/>
  <c r="C49" i="2"/>
  <c r="F47" i="2"/>
  <c r="C101" i="2"/>
  <c r="C16" i="2"/>
  <c r="C99" i="2"/>
  <c r="C114" i="2"/>
  <c r="C85" i="2"/>
  <c r="C20" i="2"/>
  <c r="F84" i="2"/>
  <c r="C116" i="2"/>
  <c r="F136" i="2"/>
  <c r="F36" i="2"/>
  <c r="C90" i="2"/>
  <c r="F110" i="2"/>
  <c r="C131" i="2"/>
  <c r="C26" i="2"/>
  <c r="C35" i="2"/>
  <c r="F25" i="2"/>
  <c r="C79" i="2"/>
  <c r="C120" i="2"/>
  <c r="C9" i="2"/>
  <c r="F73" i="2"/>
  <c r="C105" i="2"/>
  <c r="F125" i="2"/>
  <c r="F99" i="2"/>
  <c r="C48" i="2"/>
  <c r="F15" i="2"/>
  <c r="F130" i="2"/>
  <c r="C13" i="2"/>
  <c r="F45" i="2"/>
  <c r="F82" i="2"/>
  <c r="F11" i="2"/>
  <c r="F129" i="2"/>
  <c r="F51" i="2"/>
  <c r="C94" i="2"/>
  <c r="F114" i="2"/>
  <c r="C135" i="2"/>
  <c r="C68" i="2"/>
  <c r="F88" i="2"/>
  <c r="C109" i="2"/>
  <c r="C25" i="2"/>
  <c r="F33" i="2"/>
  <c r="F70" i="2"/>
  <c r="C132" i="2"/>
  <c r="F115" i="2"/>
  <c r="F56" i="2"/>
  <c r="F107" i="2"/>
  <c r="F40" i="2"/>
  <c r="C83" i="2"/>
  <c r="F103" i="2"/>
  <c r="C124" i="2"/>
  <c r="C46" i="2"/>
  <c r="F77" i="2"/>
  <c r="C98" i="2"/>
  <c r="C47" i="2"/>
  <c r="C15" i="2"/>
  <c r="C91" i="2"/>
  <c r="C65" i="2"/>
  <c r="F96" i="2"/>
  <c r="C128" i="2"/>
  <c r="C72" i="2"/>
  <c r="F92" i="2"/>
  <c r="C113" i="2"/>
  <c r="F122" i="2"/>
  <c r="F66" i="2"/>
  <c r="C87" i="2"/>
  <c r="C24" i="2"/>
  <c r="C32" i="2"/>
  <c r="C76" i="2"/>
  <c r="C106" i="2"/>
  <c r="F74" i="2"/>
  <c r="C117" i="2"/>
  <c r="C61" i="2"/>
  <c r="F81" i="2"/>
  <c r="C102" i="2"/>
  <c r="F100" i="2"/>
  <c r="F55" i="2"/>
  <c r="F44" i="2"/>
  <c r="F14" i="2"/>
  <c r="F89" i="2"/>
  <c r="F29" i="2"/>
  <c r="F52" i="2"/>
  <c r="F137" i="2"/>
  <c r="F22" i="2"/>
  <c r="C69" i="2"/>
  <c r="C110" i="2"/>
  <c r="F21" i="2"/>
  <c r="C73" i="2"/>
  <c r="C40" i="2"/>
  <c r="F34" i="2"/>
  <c r="C51" i="2"/>
  <c r="C55" i="2"/>
  <c r="F41" i="2"/>
  <c r="C95" i="2"/>
  <c r="F126" i="2"/>
  <c r="F59" i="2"/>
  <c r="C80" i="2"/>
  <c r="F67" i="2"/>
  <c r="C121" i="2"/>
  <c r="C54" i="2"/>
  <c r="C43" i="2"/>
  <c r="C29" i="2"/>
  <c r="F19" i="2"/>
  <c r="C84" i="2"/>
  <c r="C136" i="2"/>
  <c r="C14" i="2" l="1"/>
  <c r="C34" i="2"/>
  <c r="F16" i="2"/>
  <c r="C23" i="2"/>
  <c r="F30" i="2"/>
  <c r="F63" i="2"/>
  <c r="F85" i="2"/>
  <c r="F118" i="2"/>
  <c r="C130" i="2"/>
  <c r="F42" i="2"/>
  <c r="F97" i="2"/>
  <c r="F108" i="2"/>
  <c r="F54" i="2"/>
  <c r="F131" i="2"/>
  <c r="C44" i="2"/>
  <c r="C88" i="2"/>
  <c r="C67" i="2"/>
  <c r="C78" i="2"/>
  <c r="F23" i="2"/>
  <c r="F78" i="2"/>
  <c r="F133" i="2"/>
  <c r="C57" i="2"/>
  <c r="F35" i="2"/>
  <c r="F90" i="2"/>
  <c r="F101" i="2"/>
  <c r="F112" i="2"/>
  <c r="F58" i="2"/>
  <c r="F124" i="2"/>
  <c r="F135" i="2"/>
  <c r="C126" i="2"/>
  <c r="F71" i="2"/>
  <c r="F104" i="2"/>
  <c r="F50" i="2"/>
  <c r="C7" i="2"/>
  <c r="F7" i="2"/>
  <c r="C52" i="2"/>
  <c r="C96" i="2"/>
  <c r="C107" i="2"/>
  <c r="C118" i="2"/>
  <c r="F6" i="2" l="1"/>
  <c r="C6" i="2"/>
  <c r="F111" i="2"/>
  <c r="F62" i="2"/>
  <c r="C66" i="2"/>
  <c r="C139" i="2" l="1"/>
  <c r="F139" i="2"/>
</calcChain>
</file>

<file path=xl/sharedStrings.xml><?xml version="1.0" encoding="utf-8"?>
<sst xmlns="http://schemas.openxmlformats.org/spreadsheetml/2006/main" count="1300" uniqueCount="525">
  <si>
    <t>Chubb European Group SE Merkezi Fransa Türkiye İstanbul Şubesi</t>
  </si>
  <si>
    <t>Bupa Acıbadem Sigorta AŞ</t>
  </si>
  <si>
    <t>Viennalife Emeklilik ve Hayat AŞ</t>
  </si>
  <si>
    <t>Corpus Sigorta AŞ</t>
  </si>
  <si>
    <t>Demir Sağlık ve Hayat Sigorta AŞ</t>
  </si>
  <si>
    <t>VHV Allgemeine Sigorta AŞ</t>
  </si>
  <si>
    <t>Sompo Sigorta AŞ</t>
  </si>
  <si>
    <t>Referans Sigorta AŞ</t>
  </si>
  <si>
    <t>Türkiye Sigorta AŞ</t>
  </si>
  <si>
    <t>Bereket Sigorta AŞ</t>
  </si>
  <si>
    <t>Mapfre Sigorta AŞ</t>
  </si>
  <si>
    <t>Zurich Yaşam ve Emeklilik AŞ</t>
  </si>
  <si>
    <t>Neova Katılım Sigorta AŞ</t>
  </si>
  <si>
    <t>Şeker Sigorta AŞ</t>
  </si>
  <si>
    <t>Türkiye Hayat ve Emeklilik AŞ</t>
  </si>
  <si>
    <t>Koru Sigorta AŞ</t>
  </si>
  <si>
    <t>Bereket Emeklilik ve Hayat AŞ</t>
  </si>
  <si>
    <t>GIG Sigorta AŞ</t>
  </si>
  <si>
    <t>Doga Sigorta AŞ</t>
  </si>
  <si>
    <t>TOPLAM (HAYAT DIŞI ŞİRKETLER)</t>
  </si>
  <si>
    <t>TOPLAM (HAYAT VE EMEKLİLİK ŞİRKETLERİ)</t>
  </si>
  <si>
    <t>TOPLAM (REASÜRANS ŞİRKETLERİ)</t>
  </si>
  <si>
    <t>TOPLAM (HAYAT DIŞI ŞİRKETLER+HAYAT VE EMEKLİLİK ŞİRKETLERİ)</t>
  </si>
  <si>
    <t>TOPLAM (HAYAT DIŞI ŞİRKETLER+HAYAT VE EMEKLİLİK ŞİRKETLERİ+REASÜRANS ŞİRKETLERİ)</t>
  </si>
  <si>
    <t>Lütfen Seçimlerinizi Yapınız</t>
  </si>
  <si>
    <t>Aktif - Haziran 2026</t>
  </si>
  <si>
    <t>Pasif - Haziran 2026</t>
  </si>
  <si>
    <t>Aksigorta AŞ</t>
  </si>
  <si>
    <t>Allianz Sigorta AŞ</t>
  </si>
  <si>
    <t>I. CARİ VARLIKLAR</t>
  </si>
  <si>
    <t>III- KISA VADELİ YÜKÜMLÜLÜKLER</t>
  </si>
  <si>
    <t>Anadolu Anonim Türk Sigorta Şirketi</t>
  </si>
  <si>
    <t>A. Nakit ve Nakit Benzeri Varlıklar</t>
  </si>
  <si>
    <t xml:space="preserve">A- Finansal Borçlar </t>
  </si>
  <si>
    <t>Ankara Anonim Türk Sigorta Şirketi</t>
  </si>
  <si>
    <t>1- Kasa</t>
  </si>
  <si>
    <t xml:space="preserve">1- Kredi Kuruluşlarına Borçlar </t>
  </si>
  <si>
    <t>Atradius Crédito y Caución S.A. de Seguros y Reaseguros, İstanbul Şubesi</t>
  </si>
  <si>
    <t>2- Alınan Çekler</t>
  </si>
  <si>
    <t>2- Finansal Kiralama İşlemlerinden Borçlar</t>
  </si>
  <si>
    <t>Unico Sigorta AŞ</t>
  </si>
  <si>
    <t>3- Bankalar;</t>
  </si>
  <si>
    <t>3- Ertelenmiş Finansal Kiralama Borçlanma Maliyetleri</t>
  </si>
  <si>
    <t>Axa Sigorta AŞ</t>
  </si>
  <si>
    <t>4- Verilen Çekler Ve Ödeme Emirleri (-)</t>
  </si>
  <si>
    <t xml:space="preserve">4- Uzun Vadeli Kredilerin Ana Para Taksitleri Ve Faizleri </t>
  </si>
  <si>
    <t>BNP Paribas Cardif Sigorta AŞ</t>
  </si>
  <si>
    <t>5- Banka Garantili ve 3 Aydan Kısa Vadeli</t>
  </si>
  <si>
    <t>5- Çıkarılmış Tahviller(Bonolar) Anapara, Taksit ve Faizleri</t>
  </si>
  <si>
    <t>Coface Sigorta AŞ</t>
  </si>
  <si>
    <t>6- Diğer Nakit Ve Nakit Benzeri Varlıklar</t>
  </si>
  <si>
    <t xml:space="preserve">6- Çıkarılmış Diğer Finansal Varlıklar </t>
  </si>
  <si>
    <t>B. Finansal Varlıklar ile Riski Sigortalılara Ait Fin. Yat.</t>
  </si>
  <si>
    <t>7- Çıkarılmış Diğer Finansal Varlıklar İhraç Farkı</t>
  </si>
  <si>
    <t>1- Satılmaya Hazır Finansal Varlıklar</t>
  </si>
  <si>
    <t>8- Diğer Finansal Borçlar (Yükümlülükler)</t>
  </si>
  <si>
    <t>Euler Hermes Sigorta AŞ</t>
  </si>
  <si>
    <t>2- Vadeye Kadar Elde Tutulacak Finansal Varlıklar</t>
  </si>
  <si>
    <t xml:space="preserve">B- Esas Faaliyetlerden Borçlar </t>
  </si>
  <si>
    <t>Eureko Sigorta AŞ</t>
  </si>
  <si>
    <t>3- Alım Satım Amaçlı Finansal Varlıklar</t>
  </si>
  <si>
    <t xml:space="preserve">1- Sigortacılık Faaliyetlerinden Borçlar </t>
  </si>
  <si>
    <t>4- Krediler</t>
  </si>
  <si>
    <t xml:space="preserve">2- Reasürans Faaliyetlerinden Borçlar </t>
  </si>
  <si>
    <t>5- Krediler Karşılığı (-)</t>
  </si>
  <si>
    <t xml:space="preserve">3- Sigorta Ve Reasürans Şirketlerinden Alınan Depolar </t>
  </si>
  <si>
    <t>HDI Sigorta AŞ</t>
  </si>
  <si>
    <t>6- Riski Hayat Poliçesi Sahiplerine Ait  Finansal Yatırımlar</t>
  </si>
  <si>
    <t>4- Emeklilik Faaliyetlerinden Borçlar</t>
  </si>
  <si>
    <t>7- Şirket Hissesi</t>
  </si>
  <si>
    <t>5- Diğer Esas Faaliyetlerden Borçlar</t>
  </si>
  <si>
    <t>Magdeburger Sigorta AŞ</t>
  </si>
  <si>
    <t>8- Finansal Varlıklar Değer Düşüklüğü Karşılığı (-)</t>
  </si>
  <si>
    <t>6- Diğer Esas Faaliyetlerden Borçlar Borç Senetleri Reeskontu</t>
  </si>
  <si>
    <t>C. Esas Faaliyetlerden Alacaklar</t>
  </si>
  <si>
    <t xml:space="preserve">C-İlişkili Taraflara Borçlar </t>
  </si>
  <si>
    <t>1- Sigortacılık Faaliyetlerinden Alacaklar</t>
  </si>
  <si>
    <t>1- Ortaklara Borçlar</t>
  </si>
  <si>
    <t>Orient Sigorta AŞ</t>
  </si>
  <si>
    <t>2- Sigortacılık Faaliyetlerinden Alacaklar Karşılığı (-)</t>
  </si>
  <si>
    <t>2- İştiraklere Borçlar</t>
  </si>
  <si>
    <t>Ray Sigorta AŞ</t>
  </si>
  <si>
    <t>3- Reasürans Faaliyetlerinden Alacaklar</t>
  </si>
  <si>
    <t>3- Bağlı Ortaklıklara Borçlar</t>
  </si>
  <si>
    <t>4- Reasürans Faaliyetlerinden Alacaklar Karşılığı (-)</t>
  </si>
  <si>
    <t>4- Müşterek Yönetime Tabi Teşebbüslere Borçlar</t>
  </si>
  <si>
    <t>5- Sigorta Ve Reasürans Şirketleri Nezdindeki Depolar</t>
  </si>
  <si>
    <t>5- Personele Borçlar</t>
  </si>
  <si>
    <t>6- Sigortalılara Krediler (İkrazlar)</t>
  </si>
  <si>
    <t>6- Diğer İlişkili Taraflara Borçlar</t>
  </si>
  <si>
    <t>7- Sigortalılara Krediler (İkrazlar) Karşılığı (-)</t>
  </si>
  <si>
    <t xml:space="preserve">D- Diğer Borçlar </t>
  </si>
  <si>
    <t>8- Emeklilik Faaliyetlerinden Alacaklar</t>
  </si>
  <si>
    <t>1- Alınan Depozito ve Teminatlar</t>
  </si>
  <si>
    <t>Türk Nippon Sigorta AŞ</t>
  </si>
  <si>
    <t>9- Esas Faaliyetlerden Kaynaklanan Şüpheli Alacaklar</t>
  </si>
  <si>
    <t>2- SGK'ya Borçlar</t>
  </si>
  <si>
    <t>Türk P&amp;I Sigorta AŞ</t>
  </si>
  <si>
    <t>10- Esas Faaliyetlerden Kaynaklanan Şüpheli Alacaklar Karş.(-)</t>
  </si>
  <si>
    <t>3- Diğer Çeşitli Borçlar</t>
  </si>
  <si>
    <t>Zurich Sigorta AŞ</t>
  </si>
  <si>
    <t>D. İlişkili Taraflardan Alacaklar</t>
  </si>
  <si>
    <t xml:space="preserve">4- Diğer Çeşitli Borçlar Reeskontu </t>
  </si>
  <si>
    <t>Ethica Sigorta AŞ</t>
  </si>
  <si>
    <t>1- Ortaklardan Alacaklar</t>
  </si>
  <si>
    <t xml:space="preserve">E-Sigortacılık Teknik Karşılıkları </t>
  </si>
  <si>
    <t>Quick Sigorta AŞ</t>
  </si>
  <si>
    <t>2- İştiraklerden Alacaklar</t>
  </si>
  <si>
    <t xml:space="preserve">1- Kazanılmamış Primler Karşılığı - Net </t>
  </si>
  <si>
    <t>SS Atlas Sigorta Kooperatifi</t>
  </si>
  <si>
    <t>3- Bağlı Ortaklıklardan Alacaklar</t>
  </si>
  <si>
    <t xml:space="preserve">2- Devam Eden Riskler Karşılığı - Net </t>
  </si>
  <si>
    <t>Türkiye Katılım Sigorta AŞ</t>
  </si>
  <si>
    <t>4- Müşterek Yönetime Tabi Teşebbüslerden Alacaklar</t>
  </si>
  <si>
    <t xml:space="preserve">3- Hayat Matematik Karşılığı - Net </t>
  </si>
  <si>
    <t>Ana Sigorta AŞ</t>
  </si>
  <si>
    <t>5- Personelden Alacaklar</t>
  </si>
  <si>
    <t xml:space="preserve">4- Muallak Hasar ve Tazminat Karşılığı - Net </t>
  </si>
  <si>
    <t>Arex Sigorta AŞ</t>
  </si>
  <si>
    <t>6- Diğer İlişkili Taraflardan Alacaklar</t>
  </si>
  <si>
    <t>5- İkramiye ve İndirimler Karşılığı - Net</t>
  </si>
  <si>
    <t>Prive Sigorta AŞ</t>
  </si>
  <si>
    <t>7- İlişkili Taraflardan Alacaklar Reeskontu (-)</t>
  </si>
  <si>
    <t>6- Diğer Teknik Karşılıklar - Net</t>
  </si>
  <si>
    <t>Hepiyi Sigorta AŞ</t>
  </si>
  <si>
    <t>8- İlişkili Taraflardan Şüpheli Alacaklar</t>
  </si>
  <si>
    <t xml:space="preserve">F- Ödenecek Vergi ve Benzeri Diğer Yükümlülükler İle Karşılıkları  </t>
  </si>
  <si>
    <t>Aveon Global Sigorta AŞ</t>
  </si>
  <si>
    <t>9- İlişkili Taraflardan Şüpheli Alacaklar Karşılığı (-)</t>
  </si>
  <si>
    <t xml:space="preserve">1- Ödenecek Vergi ve Fonlar </t>
  </si>
  <si>
    <t>AcnTurk Sigorta AŞ</t>
  </si>
  <si>
    <t>E. Diğer Alacaklar</t>
  </si>
  <si>
    <t xml:space="preserve">2- Ödenecek Sosyal Güvenlik Kesintileri </t>
  </si>
  <si>
    <t>Emaa Sigorta AŞ</t>
  </si>
  <si>
    <t>1- Finansal Kiralama Alacakları</t>
  </si>
  <si>
    <t>3- Vadesi Geçmiş, Ertelenmiş veya Taksitlendirilmiş Vergi ve Diğer Yükümlülükler</t>
  </si>
  <si>
    <t>HDI Katılım Sigorta AŞ</t>
  </si>
  <si>
    <t>2- Kazanılmamış Finansal Kiralama Faiz Gelirleri (-)</t>
  </si>
  <si>
    <t>4- Ödenecek Diğer Vergi ve Benzeri Yükümlülükler</t>
  </si>
  <si>
    <t>Fiba Sigorta AŞ</t>
  </si>
  <si>
    <t>3- Verilen Depozito ve Teminatlar</t>
  </si>
  <si>
    <t xml:space="preserve">5- Dönem Karı Vergi ve Diğer Yasal Yükümlülük Karşılıkları </t>
  </si>
  <si>
    <t>Turkcell Dijital Sigorta AŞ</t>
  </si>
  <si>
    <t>4- Diğer Çeşitli Alacaklar</t>
  </si>
  <si>
    <t xml:space="preserve">6- Dönem Karının Peşin Ödenen Vergi ve Diğer Yükümlülükleri </t>
  </si>
  <si>
    <t>Global World Sigorta AŞ</t>
  </si>
  <si>
    <t>5- Diğer Çeşitli Alacaklar Reeskontu(-)</t>
  </si>
  <si>
    <t xml:space="preserve">7- Diğer Vergi ve Benzeri Yükümlülük Karşılıkları </t>
  </si>
  <si>
    <t>Medisa Sigorta AŞ</t>
  </si>
  <si>
    <t>6- Şüpheli Diğer Alacaklar</t>
  </si>
  <si>
    <t>G- Diğer Risklere İlişkin Karşılıklar</t>
  </si>
  <si>
    <t>7- Şüpheli Diğer Alacaklar Karşılığı (-)</t>
  </si>
  <si>
    <t>1- Kıdem Tazminatı Karşılığı</t>
  </si>
  <si>
    <t>BNP Paribas Cardif Hayat Sigorta AŞ</t>
  </si>
  <si>
    <t xml:space="preserve">F- Gelecek Aylara Ait Giderler ve Gelir Tahakkukları </t>
  </si>
  <si>
    <t>2- Sosyal Yardım Sandığı Varlık Açıkları Karşılığı</t>
  </si>
  <si>
    <t xml:space="preserve">1- Gelecek Aylara Ait Giderler </t>
  </si>
  <si>
    <t>3- Maliyet Giderleri Karşılığı</t>
  </si>
  <si>
    <t>2- Tahakkuk Etmiş Faiz ve Kira Gelirleri</t>
  </si>
  <si>
    <t xml:space="preserve">H- Gelecek Aylara Ait Gelirler ve Gider Tahakkukları </t>
  </si>
  <si>
    <t>Türkiye Katılım Hayat AŞ</t>
  </si>
  <si>
    <t>3- Gelir Tahakkukları</t>
  </si>
  <si>
    <t xml:space="preserve">1- Gelecek Aylara Ait Gelirler </t>
  </si>
  <si>
    <t>Quick Hayat Sigorta AŞ</t>
  </si>
  <si>
    <t xml:space="preserve">4- Gelecek Aylara Ait Diğer Giderler ve Gelir Tahakkukları </t>
  </si>
  <si>
    <t>2- Gider Tahakkukları</t>
  </si>
  <si>
    <t>G- Diğer Cari Varlıklar</t>
  </si>
  <si>
    <t>3- Gelecek Aylara Ait Diğer Gelirler ve Gider Tahakkukları</t>
  </si>
  <si>
    <t>Allianz Hayat ve Emeklilik AŞ</t>
  </si>
  <si>
    <t>1- Gelecek Aylar İhtiyacı Stoklar</t>
  </si>
  <si>
    <t xml:space="preserve">I- Diğer Kısa Vadeli Yükümlülükler </t>
  </si>
  <si>
    <t>Allianz Yaşam ve Emeklilik AŞ</t>
  </si>
  <si>
    <t xml:space="preserve">2- Peşin Ödenen Vergiler ve Fonlar </t>
  </si>
  <si>
    <t>1- Ertelenmiş Vergi Yükümlüğü</t>
  </si>
  <si>
    <t>Anadolu Hayat Emeklilik AŞ</t>
  </si>
  <si>
    <t>3- Ertelenmiş Vergi Varlıkları</t>
  </si>
  <si>
    <t xml:space="preserve">2- Sayım ve Tesellüm Fazlalıkları </t>
  </si>
  <si>
    <t xml:space="preserve">4- İş Avansları </t>
  </si>
  <si>
    <t xml:space="preserve">3- Diğer Çeşitli Kısa Vadeli Yükümlülükler </t>
  </si>
  <si>
    <t>AgeSA Emeklilik ve Hayat AŞ</t>
  </si>
  <si>
    <t xml:space="preserve">5- Personele Verilen Avanslar </t>
  </si>
  <si>
    <t>IV- UZUN VADELİ YÜKÜMLÜLÜKLER</t>
  </si>
  <si>
    <t>Axa Hayat ve Emeklilik AŞ</t>
  </si>
  <si>
    <t xml:space="preserve">6- Sayım ve Tesellüm Noksanları </t>
  </si>
  <si>
    <t>BNP Paribas Cardif Emeklilik AŞ</t>
  </si>
  <si>
    <t xml:space="preserve">7- Diğer Çeşitli Cari Varlıklar </t>
  </si>
  <si>
    <t>QNB Sağlık Hayat Sigorta ve Emeklilik AŞ</t>
  </si>
  <si>
    <t>8- Diğer Cari Varlıklar Karşılığı (-)</t>
  </si>
  <si>
    <t>Fiba Emeklilik ve Hayat AŞ</t>
  </si>
  <si>
    <t>II. CARİ OLMAYAN VARLIKLAR</t>
  </si>
  <si>
    <t xml:space="preserve">3- Ertelenmiş Finansal Kiralama Borçlanma Maliyetleri </t>
  </si>
  <si>
    <t>Garanti Emeklilik ve Hayat AŞ</t>
  </si>
  <si>
    <t xml:space="preserve">A- Esas Faaliyetlerden Alacaklar </t>
  </si>
  <si>
    <t>4- Çıkarılmış Tahviller</t>
  </si>
  <si>
    <t>Katılım Emeklilik ve Hayat AŞ</t>
  </si>
  <si>
    <t xml:space="preserve">1- Sigortacılık Faaliyetlerinden Alacaklar </t>
  </si>
  <si>
    <t xml:space="preserve">5- Çıkarılmış Diğer Finansal Varlıklar </t>
  </si>
  <si>
    <t>Metlife Emeklilik ve Hayat AŞ</t>
  </si>
  <si>
    <t xml:space="preserve">6- Çıkarılmış Diğer Finansal Varlıklar İhraç Farkı </t>
  </si>
  <si>
    <t>7- Diğer Finansal Borçlar (Yükümlülükler)</t>
  </si>
  <si>
    <t>Milli Reasürans TAŞ</t>
  </si>
  <si>
    <t>VHV Reasürans AŞ</t>
  </si>
  <si>
    <t>5- Sigorta ve Reasürans Şirketleri Nezdindeki Depolar</t>
  </si>
  <si>
    <t>Türk Reasürans AŞ</t>
  </si>
  <si>
    <t>Türk Katılım Reasürans AŞ</t>
  </si>
  <si>
    <t xml:space="preserve">3- Sigorta ve Reasürans Şirketlerinden Alınan Depolar </t>
  </si>
  <si>
    <t xml:space="preserve">9- Esas Faaliyetlerden Kaynaklanan Şüpheli Alacaklar </t>
  </si>
  <si>
    <t>10- Esas Faaliyetlerden Kaynaklanan Şüpheli Alacaklar Karşılığı (-)</t>
  </si>
  <si>
    <t xml:space="preserve">B- İlişkili Taraflardan Alacaklar </t>
  </si>
  <si>
    <t xml:space="preserve">C- İlişkili Taraflara Borçlar </t>
  </si>
  <si>
    <t xml:space="preserve">1- Ortaklardan Alacaklar </t>
  </si>
  <si>
    <t xml:space="preserve">3- Bağlı Ortaklıklardan Alacaklar </t>
  </si>
  <si>
    <t xml:space="preserve">4- Müşterek Yönetime Tabi Teşebbüslerden Alacaklar </t>
  </si>
  <si>
    <t xml:space="preserve">4- Müşterek Yönetime Tabi Teşebbüslere Borçlar </t>
  </si>
  <si>
    <t xml:space="preserve">5- Personelden Alacaklar </t>
  </si>
  <si>
    <t xml:space="preserve">5- Personele Borçlar </t>
  </si>
  <si>
    <t xml:space="preserve">6- Diğer İlişkili Taraflara Borçlar </t>
  </si>
  <si>
    <t xml:space="preserve">1- Alınan Depozito ve Teminatlar </t>
  </si>
  <si>
    <t xml:space="preserve">2- SGK'ya  Borçlar </t>
  </si>
  <si>
    <t>C- Diğer Alacaklar</t>
  </si>
  <si>
    <t xml:space="preserve">3- Diğer Çeşitli Borçlar </t>
  </si>
  <si>
    <t>4- Diğer Çeşitli Borçlar Reeskontu</t>
  </si>
  <si>
    <t xml:space="preserve">E- Sigortacılık Teknik Karşılıkları </t>
  </si>
  <si>
    <t>5- Diğer Çeşitli Alacaklar Reeskontu (-)</t>
  </si>
  <si>
    <t xml:space="preserve">D- Finansal Varlıklar </t>
  </si>
  <si>
    <t xml:space="preserve">1- Bağlı Menkul Kıymetler </t>
  </si>
  <si>
    <t xml:space="preserve">F- Diğer Yükümlülükler ve Karşılıkları </t>
  </si>
  <si>
    <t xml:space="preserve">2- İştirakler </t>
  </si>
  <si>
    <t xml:space="preserve">1- Ödenecek Diğer Yükümlülükler  </t>
  </si>
  <si>
    <t>3- İştirakler Sermaye Taahhütleri (-)</t>
  </si>
  <si>
    <t>2- Vadesi Geçmiş, Ertelenmiş veya Taksitlendirilmiş Vergi ve Diğer Yükümlülükler</t>
  </si>
  <si>
    <t>4- Bağlı Ortaklıklar</t>
  </si>
  <si>
    <t xml:space="preserve">3- Diğer Borç ve Gider Karşılıkları </t>
  </si>
  <si>
    <t>5- Bağlı Ortaklıklar Sermaye Taahhütleri (-)</t>
  </si>
  <si>
    <t xml:space="preserve">G- Diğer Risklere İlişkin Karşılıklar </t>
  </si>
  <si>
    <t>6- Müşterek Yönetime Tabi Teşebbüsler</t>
  </si>
  <si>
    <t>7- Müşterek Yönetime Tabi Teşebbüsler Sermaye Taahhütleri (-)</t>
  </si>
  <si>
    <t>8- Finansal Varlıklar ve Riski Sigortalılara Ait Finansal Yatırımlar</t>
  </si>
  <si>
    <t xml:space="preserve">H-Gelecek Yıllara Ait Gelirler ve Gider Tahakkukları </t>
  </si>
  <si>
    <t xml:space="preserve">9- Diğer Finansal Varlıklar </t>
  </si>
  <si>
    <t xml:space="preserve">1- Gelecek Yıllara Ait Gelirler </t>
  </si>
  <si>
    <t>10- Finansal Varlıklar Değer Düşüklüğü Karşılığı (-)</t>
  </si>
  <si>
    <t>E- Maddi Varlıklar</t>
  </si>
  <si>
    <t>3- Gelecek Yıllara Ait Diğer Gelirler ve Gider Tahakkukları</t>
  </si>
  <si>
    <t>1- Yatırım Amaçlı Gayrımenkuller</t>
  </si>
  <si>
    <t>I- Diğer Uzun Vadeli Yükümlülükler</t>
  </si>
  <si>
    <t xml:space="preserve">2- Yatırım Amaçlı Gayrımenkuller Değer Düşüklüğü Karşılığı </t>
  </si>
  <si>
    <t>1- Ertelenmiş Vergi Yükümlülüğü</t>
  </si>
  <si>
    <t>3- Kullanım Amaçlı Gayrımenkuller</t>
  </si>
  <si>
    <t xml:space="preserve">2- Diğer Uzun Vadeli Yükümlülükler </t>
  </si>
  <si>
    <t xml:space="preserve">4- Makine ve Teçhizatlar </t>
  </si>
  <si>
    <t>V- ÖZSERMAYE</t>
  </si>
  <si>
    <t xml:space="preserve">5- Demirbaş ve Tesisatlar </t>
  </si>
  <si>
    <t xml:space="preserve">A- Ödenmiş Sermaye </t>
  </si>
  <si>
    <t xml:space="preserve">6- Motorlu Taşıtlar </t>
  </si>
  <si>
    <t xml:space="preserve">1- (Nominal) Sermaye </t>
  </si>
  <si>
    <t>7- Diğer Maddi Varlıklar (Özel Maliyet Bedelleri Dahil)</t>
  </si>
  <si>
    <t xml:space="preserve">2- Ödenmemiş Sermaye </t>
  </si>
  <si>
    <t>8- Kiralama Yoluyla Edinilmiş Maddi Varlıklar</t>
  </si>
  <si>
    <t>3- Sermaye Düzeltmesi Olumlu Farkları</t>
  </si>
  <si>
    <t xml:space="preserve">9- Birikmiş Amortismanlar </t>
  </si>
  <si>
    <t>4- Sermaye Düzeltmesi Olumsuz Farkları</t>
  </si>
  <si>
    <t>10- Maddi Varlıklara İlişkin Avanslar (Yapılmakta Olan Yatırımlar Dahil)</t>
  </si>
  <si>
    <t>5- Tescili Beklenen Sermaye</t>
  </si>
  <si>
    <t>F- Maddi Olmayan Varlıklar</t>
  </si>
  <si>
    <t xml:space="preserve">B- Sermaye Yedekleri </t>
  </si>
  <si>
    <t xml:space="preserve">1- Haklar </t>
  </si>
  <si>
    <t xml:space="preserve">1- Hisse Senedi İhraç Primleri </t>
  </si>
  <si>
    <t xml:space="preserve">2- Şerefiye </t>
  </si>
  <si>
    <t>2- Hisse Senedi İptal Karları</t>
  </si>
  <si>
    <t xml:space="preserve">3- Faaliyet Öncesi Döneme Ait Giderler </t>
  </si>
  <si>
    <t>3- Sermayeye Eklenecek Satış Karları</t>
  </si>
  <si>
    <t xml:space="preserve">4- Araştırma ve Geliştirme Giderleri </t>
  </si>
  <si>
    <t>4- Yabancı Para Çevirim Farkları</t>
  </si>
  <si>
    <t xml:space="preserve">5- Diğer Maddi Olmayan Varlıklar </t>
  </si>
  <si>
    <t>5- Diğer Sermaye Yedekleri</t>
  </si>
  <si>
    <t>6- Birikmiş İtfalar</t>
  </si>
  <si>
    <t xml:space="preserve">C- Kar Yedekleri </t>
  </si>
  <si>
    <t xml:space="preserve">7- Maddi Olmayan Varlıklara İlişkin Avanslar </t>
  </si>
  <si>
    <t xml:space="preserve">1- Yasal Yedekler </t>
  </si>
  <si>
    <t xml:space="preserve">G-Gelecek Yıllara Ait Giderler ve Gelir Tahakkukları </t>
  </si>
  <si>
    <t>2- Statü Yedekleri</t>
  </si>
  <si>
    <t>1- Gelecek Yıllara Ait Giderler</t>
  </si>
  <si>
    <t>3- Olağanüstü Yedekler</t>
  </si>
  <si>
    <t xml:space="preserve">2- Gelir Tahakkukları  </t>
  </si>
  <si>
    <t>4- Özel Fonlar (Yedekler)</t>
  </si>
  <si>
    <t xml:space="preserve">3- Gelecek Yıllara Ait Diğer Giderler ve Gelir Tahakkukları </t>
  </si>
  <si>
    <t>5- Finansal Varlıkların Değerlemesi</t>
  </si>
  <si>
    <t>H-Diğer Cari Olmayan Varlıklar</t>
  </si>
  <si>
    <t xml:space="preserve">6- Diğer Kar Yedekleri </t>
  </si>
  <si>
    <t>1- Efektif Yabancı Para Hesapları</t>
  </si>
  <si>
    <t xml:space="preserve">D- Geçmiş Yıllar Karları </t>
  </si>
  <si>
    <t>2- Döviz Hesapları</t>
  </si>
  <si>
    <t xml:space="preserve">1- Geçmiş Yıllar Karları </t>
  </si>
  <si>
    <t xml:space="preserve">3- Gelecek Yıllar İhtiyacı Stoklar </t>
  </si>
  <si>
    <t>E-Geçmiş Yıllar Zararları</t>
  </si>
  <si>
    <t>4- Peşin Ödenen Vergiler ve Fonlar</t>
  </si>
  <si>
    <t xml:space="preserve">1- Geçmiş Yıllar Zararları </t>
  </si>
  <si>
    <t>5- Ertelenmiş Vergi Varlıkları</t>
  </si>
  <si>
    <t>F-Dönem Net Karı-Zararı</t>
  </si>
  <si>
    <t xml:space="preserve">6- Diğer Çeşitli Cari Olmayan Varlıklar </t>
  </si>
  <si>
    <t>1- Dönem Net Karı</t>
  </si>
  <si>
    <t xml:space="preserve">7- Diğer Cari Olmayan Varlıklar Amortismanı </t>
  </si>
  <si>
    <t>2- Dönem Net Zararı</t>
  </si>
  <si>
    <t>8- Diğer Cari Olmayan Varlıklar Karşılığı</t>
  </si>
  <si>
    <t xml:space="preserve">3- Dağıtıma Konu Olmayan Dönem Net Karı </t>
  </si>
  <si>
    <t>VARLIKLAR TOPLAMI</t>
  </si>
  <si>
    <t xml:space="preserve">YÜKÜMLÜLÜKLER TOPLAMI </t>
  </si>
  <si>
    <t>BİLANÇO</t>
  </si>
  <si>
    <t>Aktif Detay</t>
  </si>
  <si>
    <t/>
  </si>
  <si>
    <t>01.01.2026-30.06.2026</t>
  </si>
  <si>
    <t>Şirket Adı</t>
  </si>
  <si>
    <t>Şirket Kodu</t>
  </si>
  <si>
    <t>Şirket Tipi</t>
  </si>
  <si>
    <t>Cari Varlıklar</t>
  </si>
  <si>
    <t>Nakit ve Nakit Benzeri Varlıklar</t>
  </si>
  <si>
    <t>Kasa</t>
  </si>
  <si>
    <t>Alınan Çekler</t>
  </si>
  <si>
    <t>Bankalar</t>
  </si>
  <si>
    <t>Verilen Çekler ve Ödeme Emirleri (-);</t>
  </si>
  <si>
    <t>Banka Garantili ve Üç Aydan Kısa Vadeli Kredi Kartı Alacakları</t>
  </si>
  <si>
    <t>Diğer Nakit ve Nakit Benzeri Varlıklar</t>
  </si>
  <si>
    <t>Finansal Varlıklar ile Riski Sigortalılara Ait Finansal Yatırımlar</t>
  </si>
  <si>
    <t>Satılmaya Hazır Finansal Varlıklar</t>
  </si>
  <si>
    <t>Vadeye Kadar Elde Tutulacak Finansal Varlıklar</t>
  </si>
  <si>
    <t>Alım Satım Amaçlı Finansal Varlıklar</t>
  </si>
  <si>
    <t>Krediler</t>
  </si>
  <si>
    <t>Krediler Karşılığı (-);</t>
  </si>
  <si>
    <t>Riski Hayat Poliçesi Sahiplerine Ait Finansal Yatırımlar</t>
  </si>
  <si>
    <t>Şirket Hissesi</t>
  </si>
  <si>
    <t>Finansal Varlıklar Değer Düşüklüğü Karşılığı (-);</t>
  </si>
  <si>
    <t>Esas Faaliyetlerden Alacaklar</t>
  </si>
  <si>
    <t>Sigortacılık Faaliyetlerinden Alacaklar</t>
  </si>
  <si>
    <t>Sigortacılık Faaliyetlerinden Alacaklar Karşılığı (-);</t>
  </si>
  <si>
    <t>Reasürans Faaliyetlerinden Alacaklar</t>
  </si>
  <si>
    <t>Reasürans Faaliyetlerinden Alacaklar Karşılığı (-);</t>
  </si>
  <si>
    <t>Sigorta ve Reasürans Şirketleri Nezdindeki Depolar</t>
  </si>
  <si>
    <t>Sigortalılara Krediler (İkrazlar);</t>
  </si>
  <si>
    <t>Sigortalılara Krediler (İkrazlar); Karşılığı (-);</t>
  </si>
  <si>
    <t>Emeklilik Faaliyetlerinden Alacaklar</t>
  </si>
  <si>
    <t>Esas Faaliyetlerden Kaynaklanan Şüpheli Alacaklar</t>
  </si>
  <si>
    <t>Esas Faaliyetlerden Kaynaklanan Şüpheli Alacaklar Karşılığı (-);</t>
  </si>
  <si>
    <t>İlişkili Taraflardan Alacaklar</t>
  </si>
  <si>
    <t xml:space="preserve">Ortaklardan Alacaklar </t>
  </si>
  <si>
    <t>İştiraklerden Alacaklar</t>
  </si>
  <si>
    <t>Bağlı Ortaklıklardan Alacaklar</t>
  </si>
  <si>
    <t>Müşterek Yönetime Tabi Teşebbüslerden Alacaklar</t>
  </si>
  <si>
    <t>Personelden Alacaklar</t>
  </si>
  <si>
    <t>Diğer İlişkili Taraflardan Alacaklar</t>
  </si>
  <si>
    <t>İlişkili Taraflardan Alacaklar Reeskontu (-);</t>
  </si>
  <si>
    <t>İlişkili Taraflardan Şüpheli Alacaklar</t>
  </si>
  <si>
    <t>İlişkili Taraflardan Şüpheli Alacaklar Karşılığı (-);</t>
  </si>
  <si>
    <t>Diğer Alacaklar</t>
  </si>
  <si>
    <t>Finansal Kiralama Alacakları</t>
  </si>
  <si>
    <t>Kazanılmamış Finansal Kiralama Faiz Gelirleri (-);</t>
  </si>
  <si>
    <t>Verilen Depozito ve Teminatlar</t>
  </si>
  <si>
    <t>Diğer Çeşitli Alacaklar</t>
  </si>
  <si>
    <t>Diğer Çeşitli Alacaklar Reeskontu (-);</t>
  </si>
  <si>
    <t>Şüpheli Diğer Alacaklar</t>
  </si>
  <si>
    <t>Şüpheli Diğer Alacaklar Karşılığı (-);</t>
  </si>
  <si>
    <t>Gelecek Aylara Ait Giderler ve Gelir Tahakkukları</t>
  </si>
  <si>
    <t>Tahakkuk Etmiş Faiz ve Kira Gelirleri</t>
  </si>
  <si>
    <t>Gelir Tahakkukları</t>
  </si>
  <si>
    <t>Gelecek Aylara Ait Diğer Giderler ve Gelir Tahakkukları</t>
  </si>
  <si>
    <t>Diğer Cari Varlıklar</t>
  </si>
  <si>
    <t>Gelecek Aylar İhtiyacı Stoklar</t>
  </si>
  <si>
    <t>Peşin Ödenen Vergiler ve Fonlar</t>
  </si>
  <si>
    <t>Ertelenmiş Vergi Varlıkları</t>
  </si>
  <si>
    <t>İş Avansları</t>
  </si>
  <si>
    <t xml:space="preserve">Personele Verilen Avanslar </t>
  </si>
  <si>
    <t>Sayım ve Tesellüm Noksanları</t>
  </si>
  <si>
    <t>Diğer Çeşitli Cari Varlıklar (+/-);</t>
  </si>
  <si>
    <t>Diğer Cari Varlıklar Karşılığı (-);</t>
  </si>
  <si>
    <t>Cari Olmayan Varlıklar</t>
  </si>
  <si>
    <t>Kazanılmamış Finansal Kiralama Faiz Gelirleri</t>
  </si>
  <si>
    <t>Şüpheli  Diğer Alacaklar Karşılığı (-);</t>
  </si>
  <si>
    <t>Finansal Varlıklar</t>
  </si>
  <si>
    <t>Bağlı Menkul Kıymetler</t>
  </si>
  <si>
    <t>İştirakler</t>
  </si>
  <si>
    <t>İştirakler Sermaye Taahhütleri (-);</t>
  </si>
  <si>
    <t>Bağlı Ortaklıklar</t>
  </si>
  <si>
    <t>Bağlı Ortaklıklar Sermaye Taahhütleri (-);</t>
  </si>
  <si>
    <t>Müşterek Yönetime Tabi Teşebbüsler</t>
  </si>
  <si>
    <t>Müşterek Yönetime Tabi Teşebbüsler Sermaye Taahhütleri (-);</t>
  </si>
  <si>
    <t>Finansal Varlıklar ve Riski Sigortalılara Ait Finansal Yatırımlar</t>
  </si>
  <si>
    <t>Diğer Finansal Varlıklar</t>
  </si>
  <si>
    <t>Maddi Varlıklar</t>
  </si>
  <si>
    <t>Yatırım Amaçlı Gayrimenkuller</t>
  </si>
  <si>
    <t>Yatırım Amaçlı Gayrımenkuller Değer Düşüklüğü Karşılığı(-);</t>
  </si>
  <si>
    <t>Kullanım Amaçlı Gayrımenkuller</t>
  </si>
  <si>
    <t>Makine ve Teçhizatlar</t>
  </si>
  <si>
    <t>Demirbaş ve Tesisatlar</t>
  </si>
  <si>
    <t>Motorlu Taşıtlar</t>
  </si>
  <si>
    <t>Diğer Maddi Varlıklar (Özel Maliyet Bedelleri Dahil);</t>
  </si>
  <si>
    <t>Kiralama Yoluyla Edinilmiş Maddi  Varlıklar</t>
  </si>
  <si>
    <t>Birikmiş Amortismanlar (-);</t>
  </si>
  <si>
    <t>Maddi Varlıklara İlişkin Verilen Avanslar (Yapılmakta Olan Yatırımlar Dahil);</t>
  </si>
  <si>
    <t>Maddi Olmayan Varlıklar</t>
  </si>
  <si>
    <t xml:space="preserve">Haklar </t>
  </si>
  <si>
    <t>Şerefiye</t>
  </si>
  <si>
    <t>Faaliyet Öncesi Döneme Ait Giderler</t>
  </si>
  <si>
    <t>Araştırma ve Geliştirme Giderleri</t>
  </si>
  <si>
    <t>Diğer Maddi Olmayan Varlıklar</t>
  </si>
  <si>
    <t>Birikmiş İtfalar (Amortismanlar); (-);</t>
  </si>
  <si>
    <t>Maddi Olmayan Varlıklara İlişkin Avanslar</t>
  </si>
  <si>
    <t>Gelecek Yıllara Ait Giderler ve Gelir Tahakkukları</t>
  </si>
  <si>
    <t>Gelecek Yıllara Ait Diğer Giderler ve Gelir Tahakkukları</t>
  </si>
  <si>
    <t>Diğer Cari Olmayan Varlıklar</t>
  </si>
  <si>
    <t>Efektif Yabancı Para Hesapları</t>
  </si>
  <si>
    <t>Döviz Hesapları</t>
  </si>
  <si>
    <t>Gelecek Yıllar İhtiyacı Stoklar</t>
  </si>
  <si>
    <t>Diğer Çeşitli Cari Olmayan Varlıklar</t>
  </si>
  <si>
    <t>Diğer Cari Olmayan Varlıklar Amortismanı (-);</t>
  </si>
  <si>
    <t>Diğer Cari Olmayan Varlıklar Karşılığı (-);</t>
  </si>
  <si>
    <t>HD</t>
  </si>
  <si>
    <t>H</t>
  </si>
  <si>
    <t>E</t>
  </si>
  <si>
    <t>R</t>
  </si>
  <si>
    <t>T (HD)</t>
  </si>
  <si>
    <t>T (H+E)</t>
  </si>
  <si>
    <t>T (R)</t>
  </si>
  <si>
    <t>T (HD+H+E)</t>
  </si>
  <si>
    <t>T (HD+H+E+R)</t>
  </si>
  <si>
    <t>Aktif Ozet</t>
  </si>
  <si>
    <t>Pasif Detay</t>
  </si>
  <si>
    <t>Kısa Vadeli Yükümlülükler</t>
  </si>
  <si>
    <t>Finansal Borçlar</t>
  </si>
  <si>
    <t>Kredi Kuruluşlarına Borçlar</t>
  </si>
  <si>
    <t>Finansal Kiralama İşlemlerinden Borçlar</t>
  </si>
  <si>
    <t>Ertelenmiş Finansal Kiralama Borçlanma Maliyetleri (-);</t>
  </si>
  <si>
    <t xml:space="preserve">Uzun Vadeli Kredilerin Ana Para Taksitleri ve Faizleri </t>
  </si>
  <si>
    <t>Çıkarılmış Tahviller (Bonolar); Anapara, Taksit ve Faizleri</t>
  </si>
  <si>
    <t>Çıkarılmış Diğer Finansal Varlıklar</t>
  </si>
  <si>
    <t>Çıkarılmış Diğer Finansal Varlıklar İhraç Farkı (-);</t>
  </si>
  <si>
    <t>Diğer Finansal Borçlar (Yükümlülükler);</t>
  </si>
  <si>
    <t>Esas Faaliyetlerden Borçlar</t>
  </si>
  <si>
    <t>Sigortacılık Faaliyetlerinden Borçlar</t>
  </si>
  <si>
    <t>Reasürans Faaliyetlerinden Borçlar</t>
  </si>
  <si>
    <t>Sigorta ve Reasürans Şirketlerinden Alınan Depolar</t>
  </si>
  <si>
    <t>Emeklilik Faaliyetlerinden Borçlar</t>
  </si>
  <si>
    <t>Diğer Esas Faaliyetlerden Borçlar</t>
  </si>
  <si>
    <t>Diğer Esas Faaliyetlerden Borçlar Borç Senetleri Reeskontu(-);</t>
  </si>
  <si>
    <t>İlişkili Taraflardan Borçlar</t>
  </si>
  <si>
    <t>Ortaklara Borçlar</t>
  </si>
  <si>
    <t>İştiraklere Borçlar</t>
  </si>
  <si>
    <t>Bağlı Ortaklıklara Borçlar</t>
  </si>
  <si>
    <t>Müşterek Yönetime Tabi Teşebbüslere Borçlar</t>
  </si>
  <si>
    <t>Personele Borçlar</t>
  </si>
  <si>
    <t>Diğer İlişkili Taraflara Borçlar</t>
  </si>
  <si>
    <t>Diğer Borçlar</t>
  </si>
  <si>
    <t>Alınan Depozito ve Teminatlar</t>
  </si>
  <si>
    <t>Tedavi Giderlerine İlişkin SGK ya Borçlar</t>
  </si>
  <si>
    <t>Diğer Çeşitli Borçlar</t>
  </si>
  <si>
    <t>Diğer Çeşitli Borçlar Reeskontu (-);</t>
  </si>
  <si>
    <t>Sigortacılık Teknik Karşılıkları</t>
  </si>
  <si>
    <t>Kazanılmamış Primler Karşılığı ? Net</t>
  </si>
  <si>
    <t>Devam Eden Riskler Karşılığı - Net</t>
  </si>
  <si>
    <t>Matematik Karşılıklar - Net</t>
  </si>
  <si>
    <t>Muallak Tazminat Karşılığı - Net</t>
  </si>
  <si>
    <t>İkramiye ve İndirimler Karşılığı - Net</t>
  </si>
  <si>
    <t>Diğer Teknik Karşılıklar - Net</t>
  </si>
  <si>
    <t>Ödenecek Vergi ve Benzeri Diğer Yükümlülükler İle Karşılıklar</t>
  </si>
  <si>
    <t>Ödenecek Vergi ve Fonlar</t>
  </si>
  <si>
    <t>Ödenecek Sosyal Güvenlik Kesintileri</t>
  </si>
  <si>
    <t>Vadesi Geçmiş, Ertelenmiş Veya Taksitlendirilmiş Ver. ve Diğ. Yükümlülükler</t>
  </si>
  <si>
    <t>Ödenecek Diğer Vergi ve Benzeri Yükümlülükler</t>
  </si>
  <si>
    <t>Dönem Karı Vergi ve Diğer Yasal Yükümlülük Karşılıkları</t>
  </si>
  <si>
    <t>Dönem Karının Peşin Ödenen Vergi ve Diğer Yükümlülükleri (-);</t>
  </si>
  <si>
    <t>Diğer Vergi ve Benzeri Yükümlülük Karşılıkları</t>
  </si>
  <si>
    <t>Diğer Risklere İlişkin Karşılıklar</t>
  </si>
  <si>
    <t>Kıdem Tazminatı Karşılığı</t>
  </si>
  <si>
    <t>Sosyal Yardım Sandığı Varlık Açıkları Karşılığı</t>
  </si>
  <si>
    <t>Maliyet Giderleri Karşılığı</t>
  </si>
  <si>
    <t>Gelecek Aylara Ait Gelirler ve Gider Tahakkukları</t>
  </si>
  <si>
    <t>Gelecek Aylara Ait Gelirler</t>
  </si>
  <si>
    <t>Gider Tahakkukları</t>
  </si>
  <si>
    <t>Gelecek Aylara Ait Diğer Gelirler ve Gider Tahakkukları</t>
  </si>
  <si>
    <t>Diğer Kısa Vadeli Yükümlülükler</t>
  </si>
  <si>
    <t>Ertelenmiş Vergi Yükümlülüğü</t>
  </si>
  <si>
    <t>Sayım ve Tesellüm Fazlalıkları</t>
  </si>
  <si>
    <t>Diğer Çeşitli Kısa Vadeli Yükümlülükler</t>
  </si>
  <si>
    <t>Uzun Vadeli Yükümlülükler</t>
  </si>
  <si>
    <t>Çıkarılmış Tahviller</t>
  </si>
  <si>
    <t>Diğer Esas Faaliyetlerden  Borçlar</t>
  </si>
  <si>
    <t>Diğer Esas Faaliyetlerden  Borçlar Borç Senetleri Reeskontu (-);</t>
  </si>
  <si>
    <t>İlişkili Taraflara Borçlar</t>
  </si>
  <si>
    <t>Diğer Yükümlülükler ve Karşılıklar</t>
  </si>
  <si>
    <t>Ödenecek Diğer Yükümlülükler</t>
  </si>
  <si>
    <t>Vadesi Geçmiş, Ertelenmiş Veya Taksitlendirilmiş Ver. ve Diğ.Yükümlülükler</t>
  </si>
  <si>
    <t>Diğer Borç ve Gider Karşılıkları</t>
  </si>
  <si>
    <t>Gelecek Yıllara Ait Gelirler ve Gider Tahakkukları</t>
  </si>
  <si>
    <t>Gelecek Yıllara Ait Gelirler</t>
  </si>
  <si>
    <t>Gelecek Yıllara Ait Diğer Gelirler ve Gider Tahakkukları</t>
  </si>
  <si>
    <t>Diğer Uzun Vadeli Yükümlülükler</t>
  </si>
  <si>
    <t>Diğer Çeşitli Uzun Vadeli Yükümlülükler</t>
  </si>
  <si>
    <t>Özsermaye</t>
  </si>
  <si>
    <t>Ödenmiş Sermaye</t>
  </si>
  <si>
    <t xml:space="preserve">(Nominal); Sermaye </t>
  </si>
  <si>
    <t>Ödenmemiş Sermaye (-);</t>
  </si>
  <si>
    <t>Sermaye Düzeltmesi Olumlu Farkları</t>
  </si>
  <si>
    <t>Sermaye Düzeltmesi Olumsuz Farkları (-);</t>
  </si>
  <si>
    <t>Tescili Beklenen Sermaye</t>
  </si>
  <si>
    <t>Sermaye Yedekleri</t>
  </si>
  <si>
    <t>Hisse Senedi İhraç Primleri</t>
  </si>
  <si>
    <t>Hisse Senedi İptal Karları</t>
  </si>
  <si>
    <t>Sermayeye Eklenecek Satış Karları</t>
  </si>
  <si>
    <t>Yabancı Para Çevrim Farkları</t>
  </si>
  <si>
    <t>Diğer Sermaye Yedekleri</t>
  </si>
  <si>
    <t>Kar Yedekleri</t>
  </si>
  <si>
    <t xml:space="preserve">Yasal Yedekler </t>
  </si>
  <si>
    <t>Statü Yedekleri</t>
  </si>
  <si>
    <t>Olağanüstü Yedekler</t>
  </si>
  <si>
    <t>Özel Fonlar (Yedekler);</t>
  </si>
  <si>
    <t>Finansal Varlıkların Değerlemesi</t>
  </si>
  <si>
    <t>Diğer Kar Yedekleri</t>
  </si>
  <si>
    <t>Geçmiş Yıllar Karları</t>
  </si>
  <si>
    <t>Geçmiş Yıllar Zararları(-);</t>
  </si>
  <si>
    <t>Geçmiş Yıllar Zararları (-);</t>
  </si>
  <si>
    <t>Dönem Net Karı</t>
  </si>
  <si>
    <t>Dönem Net Zararı (-);</t>
  </si>
  <si>
    <t>Dağıtıma Konu Olmayan Dönem Karı</t>
  </si>
  <si>
    <t>Pasif Ozet</t>
  </si>
  <si>
    <t>*Bu ve/veya ilgili sayfalardaki veriler 11.08.2026  tarihi itibarıyla üye şirketlerimizden gelen verilere göre oluşturulmuştur.</t>
  </si>
  <si>
    <t>**Aveon Global Sigorta ve AcnTurk Sigorta AŞ şirketinden veri temin edilememiştir.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</si>
</sst>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%\ 0.00"/>
    <numFmt numFmtId="165" formatCode="#,##0_ ;[Red]\-#,##0\ "/>
    <numFmt numFmtId="166" formatCode="_-* #,##0.00\ _₺_-;\-* #,##0.00\ _₺_-;_-* &quot;-&quot;??\ _₺_-;_-@_-"/>
    <numFmt numFmtId="167" formatCode="0_ ;\-0\ "/>
  </numFmts>
  <fonts count="21">
    <font>
      <sz val="10"/>
      <name val="Arial"/>
    </font>
    <font>
      <b/>
      <sz val="10"/>
      <color rgb="FFFF0066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color theme="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0"/>
      <color indexed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name val="Geneva"/>
    </font>
    <font>
      <sz val="10"/>
      <color indexed="9"/>
      <name val="Calibri"/>
      <family val="2"/>
      <charset val="162"/>
      <scheme val="minor"/>
    </font>
    <font>
      <b/>
      <sz val="10"/>
      <color indexed="9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color indexed="18"/>
      <name val="Calibri"/>
      <family val="2"/>
      <charset val="162"/>
      <scheme val="minor"/>
    </font>
    <font>
      <sz val="10"/>
      <color indexed="8"/>
      <name val="Calibri"/>
      <family val="2"/>
      <charset val="162"/>
      <scheme val="minor"/>
    </font>
    <font>
      <b/>
      <sz val="10"/>
      <color theme="2" tint="-9.9978637043366805E-2"/>
      <name val="Calibri"/>
      <family val="2"/>
      <charset val="162"/>
      <scheme val="minor"/>
    </font>
    <font>
      <b/>
      <sz val="8"/>
      <color indexed="18"/>
      <name val="Arial"/>
      <family val="2"/>
      <charset val="162"/>
    </font>
    <font>
      <b/>
      <sz val="8"/>
      <color indexed="8"/>
      <name val="Arial"/>
      <family val="2"/>
      <charset val="162"/>
    </font>
    <font>
      <sz val="10"/>
      <color theme="0"/>
      <name val="Arial"/>
      <family val="2"/>
      <charset val="162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2" tint="-0.25098422193060094"/>
        </stop>
      </gradient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2" tint="-0.49803155613879818"/>
        </stop>
      </gradientFill>
    </fill>
    <fill>
      <gradientFill>
        <stop position="0">
          <color theme="2"/>
        </stop>
        <stop position="1">
          <color theme="2" tint="-9.8025452436902985E-2"/>
        </stop>
      </gradientFill>
    </fill>
    <fill>
      <gradientFill degree="90">
        <stop position="0">
          <color theme="2" tint="-9.8025452436902985E-2"/>
        </stop>
        <stop position="1">
          <color theme="2" tint="-9.8025452436902985E-2"/>
        </stop>
      </gradientFill>
    </fill>
    <fill>
      <gradientFill>
        <stop position="0">
          <color theme="0"/>
        </stop>
        <stop position="1">
          <color theme="2" tint="-0.25098422193060094"/>
        </stop>
      </gradient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/>
      <top style="medium">
        <color indexed="9"/>
      </top>
      <bottom/>
      <diagonal/>
    </border>
  </borders>
  <cellStyleXfs count="8">
    <xf numFmtId="0" fontId="0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3" fillId="4" borderId="0" xfId="2" applyNumberFormat="1" applyFont="1" applyFill="1" applyAlignment="1">
      <alignment horizontal="center"/>
    </xf>
    <xf numFmtId="49" fontId="4" fillId="4" borderId="0" xfId="2" applyNumberFormat="1" applyFont="1" applyFill="1"/>
    <xf numFmtId="0" fontId="4" fillId="4" borderId="0" xfId="0" applyFont="1" applyFill="1"/>
    <xf numFmtId="0" fontId="0" fillId="4" borderId="0" xfId="0" applyFill="1"/>
    <xf numFmtId="3" fontId="5" fillId="4" borderId="0" xfId="3" applyNumberFormat="1" applyFont="1" applyFill="1" applyAlignment="1">
      <alignment horizontal="center" vertical="center"/>
    </xf>
    <xf numFmtId="0" fontId="6" fillId="4" borderId="0" xfId="2" applyFont="1" applyFill="1" applyAlignment="1">
      <alignment horizontal="left" vertical="center"/>
    </xf>
    <xf numFmtId="0" fontId="5" fillId="4" borderId="0" xfId="2" applyFont="1" applyFill="1" applyAlignment="1">
      <alignment horizontal="center" vertical="center"/>
    </xf>
    <xf numFmtId="1" fontId="5" fillId="4" borderId="0" xfId="2" applyNumberFormat="1" applyFont="1" applyFill="1" applyAlignment="1">
      <alignment horizontal="center" vertical="center"/>
    </xf>
    <xf numFmtId="164" fontId="7" fillId="4" borderId="0" xfId="4" applyNumberFormat="1" applyFont="1" applyFill="1" applyAlignment="1">
      <alignment horizontal="right"/>
    </xf>
    <xf numFmtId="0" fontId="5" fillId="4" borderId="5" xfId="2" applyFont="1" applyFill="1" applyBorder="1" applyAlignment="1">
      <alignment horizontal="center" vertical="center"/>
    </xf>
    <xf numFmtId="0" fontId="9" fillId="4" borderId="0" xfId="0" applyFont="1" applyFill="1"/>
    <xf numFmtId="0" fontId="10" fillId="4" borderId="6" xfId="2" applyFont="1" applyFill="1" applyBorder="1" applyAlignment="1">
      <alignment horizontal="center" vertical="center" wrapText="1"/>
    </xf>
    <xf numFmtId="3" fontId="7" fillId="4" borderId="0" xfId="4" applyNumberFormat="1" applyFont="1" applyFill="1" applyAlignment="1">
      <alignment horizontal="right"/>
    </xf>
    <xf numFmtId="0" fontId="5" fillId="4" borderId="0" xfId="5" applyFont="1" applyFill="1" applyAlignment="1">
      <alignment horizontal="center" vertical="center" wrapText="1"/>
    </xf>
    <xf numFmtId="165" fontId="7" fillId="5" borderId="1" xfId="0" applyNumberFormat="1" applyFont="1" applyFill="1" applyBorder="1" applyAlignment="1">
      <alignment vertical="center" wrapText="1"/>
    </xf>
    <xf numFmtId="38" fontId="6" fillId="5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left" vertical="center" wrapText="1" indent="1"/>
    </xf>
    <xf numFmtId="38" fontId="6" fillId="2" borderId="1" xfId="0" applyNumberFormat="1" applyFont="1" applyFill="1" applyBorder="1" applyAlignment="1">
      <alignment horizontal="right"/>
    </xf>
    <xf numFmtId="0" fontId="3" fillId="4" borderId="0" xfId="5" applyFont="1" applyFill="1" applyAlignment="1">
      <alignment horizontal="center" vertical="center" wrapText="1"/>
    </xf>
    <xf numFmtId="37" fontId="11" fillId="0" borderId="1" xfId="0" applyNumberFormat="1" applyFont="1" applyBorder="1" applyAlignment="1">
      <alignment horizontal="left" vertical="center" indent="2"/>
    </xf>
    <xf numFmtId="165" fontId="4" fillId="0" borderId="1" xfId="1" applyNumberFormat="1" applyFont="1" applyFill="1" applyBorder="1" applyAlignment="1">
      <alignment wrapText="1"/>
    </xf>
    <xf numFmtId="0" fontId="3" fillId="4" borderId="0" xfId="0" applyFont="1" applyFill="1"/>
    <xf numFmtId="17" fontId="0" fillId="4" borderId="0" xfId="0" applyNumberFormat="1" applyFill="1"/>
    <xf numFmtId="0" fontId="5" fillId="4" borderId="5" xfId="5" applyFont="1" applyFill="1" applyBorder="1" applyAlignment="1">
      <alignment horizontal="center" vertical="center" wrapText="1"/>
    </xf>
    <xf numFmtId="0" fontId="5" fillId="4" borderId="7" xfId="5" applyFont="1" applyFill="1" applyBorder="1" applyAlignment="1">
      <alignment horizontal="center" vertical="top" wrapText="1"/>
    </xf>
    <xf numFmtId="0" fontId="5" fillId="4" borderId="0" xfId="5" applyFont="1" applyFill="1" applyAlignment="1">
      <alignment horizontal="center" vertical="top" wrapText="1"/>
    </xf>
    <xf numFmtId="4" fontId="0" fillId="4" borderId="0" xfId="0" applyNumberFormat="1" applyFill="1"/>
    <xf numFmtId="0" fontId="3" fillId="4" borderId="0" xfId="6" applyFont="1" applyFill="1" applyAlignment="1">
      <alignment horizontal="center"/>
    </xf>
    <xf numFmtId="49" fontId="9" fillId="4" borderId="0" xfId="7" applyNumberFormat="1" applyFont="1" applyFill="1"/>
    <xf numFmtId="10" fontId="9" fillId="4" borderId="0" xfId="0" applyNumberFormat="1" applyFont="1" applyFill="1"/>
    <xf numFmtId="0" fontId="3" fillId="4" borderId="0" xfId="0" applyFont="1" applyFill="1" applyAlignment="1">
      <alignment horizontal="center"/>
    </xf>
    <xf numFmtId="0" fontId="12" fillId="6" borderId="0" xfId="0" applyFont="1" applyFill="1" applyAlignment="1">
      <alignment horizontal="left"/>
    </xf>
    <xf numFmtId="0" fontId="12" fillId="7" borderId="0" xfId="0" applyFont="1" applyFill="1"/>
    <xf numFmtId="0" fontId="13" fillId="7" borderId="0" xfId="0" applyFont="1" applyFill="1"/>
    <xf numFmtId="0" fontId="13" fillId="4" borderId="0" xfId="0" applyFont="1" applyFill="1"/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/>
    </xf>
    <xf numFmtId="1" fontId="14" fillId="8" borderId="1" xfId="0" quotePrefix="1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38" fontId="16" fillId="3" borderId="1" xfId="0" applyNumberFormat="1" applyFont="1" applyFill="1" applyBorder="1" applyAlignment="1">
      <alignment horizontal="right"/>
    </xf>
    <xf numFmtId="0" fontId="6" fillId="8" borderId="2" xfId="0" applyFont="1" applyFill="1" applyBorder="1" applyAlignment="1">
      <alignment horizontal="left"/>
    </xf>
    <xf numFmtId="1" fontId="14" fillId="8" borderId="3" xfId="0" quotePrefix="1" applyNumberFormat="1" applyFont="1" applyFill="1" applyBorder="1" applyAlignment="1">
      <alignment horizontal="center"/>
    </xf>
    <xf numFmtId="37" fontId="7" fillId="2" borderId="2" xfId="0" applyNumberFormat="1" applyFont="1" applyFill="1" applyBorder="1" applyAlignment="1">
      <alignment vertical="center" wrapText="1"/>
    </xf>
    <xf numFmtId="167" fontId="17" fillId="2" borderId="3" xfId="0" applyNumberFormat="1" applyFont="1" applyFill="1" applyBorder="1" applyAlignment="1">
      <alignment horizontal="center" vertical="center" wrapText="1"/>
    </xf>
    <xf numFmtId="38" fontId="6" fillId="8" borderId="1" xfId="0" applyNumberFormat="1" applyFont="1" applyFill="1" applyBorder="1" applyAlignment="1">
      <alignment horizontal="right"/>
    </xf>
    <xf numFmtId="37" fontId="7" fillId="2" borderId="2" xfId="0" applyNumberFormat="1" applyFont="1" applyFill="1" applyBorder="1" applyAlignment="1">
      <alignment vertical="center"/>
    </xf>
    <xf numFmtId="37" fontId="7" fillId="2" borderId="3" xfId="0" applyNumberFormat="1" applyFont="1" applyFill="1" applyBorder="1" applyAlignment="1">
      <alignment vertical="center" wrapText="1"/>
    </xf>
    <xf numFmtId="0" fontId="13" fillId="4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4" borderId="0" xfId="0" applyFont="1" applyFill="1"/>
    <xf numFmtId="37" fontId="7" fillId="5" borderId="2" xfId="0" applyNumberFormat="1" applyFont="1" applyFill="1" applyBorder="1" applyAlignment="1">
      <alignment horizontal="center" vertical="center" wrapText="1"/>
    </xf>
    <xf numFmtId="0" fontId="0" fillId="0" borderId="3" xfId="0" applyBorder="1"/>
    <xf numFmtId="37" fontId="7" fillId="5" borderId="4" xfId="0" applyNumberFormat="1" applyFont="1" applyFill="1" applyBorder="1" applyAlignment="1">
      <alignment horizontal="center" vertical="center" wrapText="1"/>
    </xf>
    <xf numFmtId="37" fontId="7" fillId="5" borderId="3" xfId="0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_2004_09_sigortacı gazetesisektör1" xfId="4" xr:uid="{823964E7-ADC9-4785-AF11-BF5C145FF41F}"/>
    <cellStyle name="Normal_KZ1" xfId="6" xr:uid="{DDFAEDD7-BBF3-4456-BCF6-F8E541E3F9FA}"/>
    <cellStyle name="Normal_KZ1_Ana Gelir Tablosu" xfId="7" xr:uid="{77FC7E89-C27F-4814-82D2-A949FF94BD42}"/>
    <cellStyle name="Normal_KZ3" xfId="5" xr:uid="{5C9BBCF5-295E-4D95-A085-1332DDB7FBC3}"/>
    <cellStyle name="Normal_Sayfa2" xfId="2" xr:uid="{D748FD2B-B13E-4314-9CF9-588FC939A9A7}"/>
    <cellStyle name="Normal_TemmuzKZ" xfId="3" xr:uid="{820A5E10-AF0B-42F7-A37E-503E28C29011}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226219</xdr:colOff>
      <xdr:row>1</xdr:row>
      <xdr:rowOff>130969</xdr:rowOff>
    </xdr:from>
    <xdr:to>
      <xdr:col>6</xdr:col>
      <xdr:colOff>430477</xdr:colOff>
      <xdr:row>3</xdr:row>
      <xdr:rowOff>67469</xdr:rowOff>
    </xdr:to>
    <xdr:sp macro="" textlink="">
      <xdr:nvSpPr>
        <xdr:cNvPr id="2" name="Yukarı Ok 1">
          <a:extLst>
            <a:ext uri="{FF2B5EF4-FFF2-40B4-BE49-F238E27FC236}">
              <a16:creationId xmlns:a16="http://schemas.microsoft.com/office/drawing/2014/main" id="{D3AD6962-781E-4627-BF5C-D05BE83B981E}"/>
            </a:ext>
          </a:extLst>
        </xdr:cNvPr>
        <xdr:cNvSpPr/>
      </xdr:nvSpPr>
      <xdr:spPr bwMode="auto">
        <a:xfrm rot="16200000">
          <a:off x="13295048" y="320940"/>
          <a:ext cx="260350" cy="204258"/>
        </a:xfrm>
        <a:prstGeom prst="upArrow">
          <a:avLst/>
        </a:prstGeom>
        <a:gradFill flip="none" rotWithShape="1">
          <a:gsLst>
            <a:gs pos="0">
              <a:schemeClr val="accent2">
                <a:lumMod val="0"/>
                <a:lumOff val="100000"/>
              </a:schemeClr>
            </a:gs>
            <a:gs pos="35000">
              <a:schemeClr val="accent2">
                <a:lumMod val="0"/>
                <a:lumOff val="100000"/>
              </a:schemeClr>
            </a:gs>
            <a:gs pos="100000">
              <a:schemeClr val="accent2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tr-T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yyildizg\Desktop\Haziran%202026%20Konsolidasyon%20&#199;al&#305;&#351;mas&#305;.xlsx" TargetMode="External"/><Relationship Id="rId1" Type="http://schemas.openxmlformats.org/officeDocument/2006/relationships/externalLinkPath" Target="Haziran%202026%20Konsolidasyon%20&#199;al&#305;&#351;mas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1.45\mifk\Documents%20and%20Settings\umut.dogan\M&#304;FK\&#246;n%20dosyalar\Forecast_P&amp;C_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Şirket_ID"/>
      <sheetName val="Branş_ID"/>
      <sheetName val="Genel Kontrol Ünitesi"/>
      <sheetName val="Gelir Tablosu"/>
      <sheetName val="Branş Kırılımlı Analiz"/>
      <sheetName val="Hayatdışı Branşlar"/>
      <sheetName val="Hayat Branşlar"/>
      <sheetName val="HAYATDISI"/>
      <sheetName val="HAYAT"/>
      <sheetName val="EMEKLİLİK"/>
      <sheetName val="MALI"/>
      <sheetName val="701"/>
      <sheetName val="702"/>
      <sheetName val="703"/>
      <sheetName val="704"/>
      <sheetName val="705"/>
      <sheetName val="706"/>
      <sheetName val="707"/>
      <sheetName val="708"/>
      <sheetName val="710"/>
      <sheetName val="711"/>
      <sheetName val="712"/>
      <sheetName val="713"/>
      <sheetName val="714"/>
      <sheetName val="715"/>
      <sheetName val="716"/>
      <sheetName val="717"/>
      <sheetName val="718"/>
      <sheetName val="719"/>
      <sheetName val="720"/>
      <sheetName val="721"/>
      <sheetName val="722"/>
      <sheetName val="723"/>
      <sheetName val="724"/>
      <sheetName val="725"/>
      <sheetName val="726"/>
      <sheetName val="727"/>
      <sheetName val="728"/>
      <sheetName val="729"/>
      <sheetName val="730"/>
      <sheetName val="731"/>
      <sheetName val="732"/>
      <sheetName val="733"/>
      <sheetName val="734"/>
      <sheetName val="735"/>
      <sheetName val="736"/>
      <sheetName val="737"/>
      <sheetName val="738"/>
      <sheetName val="739"/>
      <sheetName val="740"/>
      <sheetName val="741"/>
      <sheetName val="742"/>
      <sheetName val="743"/>
      <sheetName val="744"/>
      <sheetName val="745"/>
      <sheetName val="746"/>
      <sheetName val="747"/>
      <sheetName val="748"/>
      <sheetName val="749"/>
      <sheetName val="750"/>
      <sheetName val="751"/>
      <sheetName val="752"/>
      <sheetName val="753"/>
      <sheetName val="754"/>
      <sheetName val="755"/>
      <sheetName val="756"/>
      <sheetName val="757"/>
      <sheetName val="758"/>
      <sheetName val="759"/>
      <sheetName val="760"/>
      <sheetName val="761"/>
      <sheetName val="765"/>
      <sheetName val="766"/>
      <sheetName val="767"/>
      <sheetName val="768"/>
      <sheetName val="769"/>
      <sheetName val="770"/>
      <sheetName val="771"/>
      <sheetName val="772"/>
      <sheetName val="773"/>
      <sheetName val="774"/>
      <sheetName val="775"/>
      <sheetName val="776"/>
      <sheetName val="777"/>
      <sheetName val="778"/>
      <sheetName val="779"/>
      <sheetName val="780"/>
      <sheetName val="781"/>
      <sheetName val="782"/>
      <sheetName val="783"/>
      <sheetName val="784"/>
      <sheetName val="785"/>
      <sheetName val="786"/>
      <sheetName val="789"/>
      <sheetName val="798"/>
      <sheetName val="855"/>
      <sheetName val="856"/>
      <sheetName val="790"/>
      <sheetName val="791"/>
      <sheetName val="792"/>
      <sheetName val="793"/>
      <sheetName val="794"/>
      <sheetName val="795"/>
      <sheetName val="796"/>
      <sheetName val="797"/>
      <sheetName val="799"/>
      <sheetName val="Gelir Tablosu Özet"/>
      <sheetName val="Gelir Tablosu (2)"/>
      <sheetName val="Branş Kırılımlı Analiz (2)"/>
      <sheetName val="Hayatdışı Branşlar (2)"/>
      <sheetName val="Hayat Branşlar (2)"/>
      <sheetName val="HAYATDISI (2)"/>
      <sheetName val="HAYAT (2)"/>
      <sheetName val="EMEKLİLİK (2)"/>
      <sheetName val="MALI (2)"/>
      <sheetName val="KAZA"/>
      <sheetName val="HASTALIK-SAĞLIK"/>
      <sheetName val="KARA ARAÇLARI"/>
      <sheetName val="KASKO"/>
      <sheetName val="RAYLI ARAÇLAR"/>
      <sheetName val="HAVA ARAÇLARI"/>
      <sheetName val="SU ARAÇLARI"/>
      <sheetName val="NAKLİYAT"/>
      <sheetName val="YANGIN VE DOĞAL AFETLER"/>
      <sheetName val="GENEL ZARARLAR"/>
      <sheetName val="KARA ARAÇLARI SORUMLULUK"/>
      <sheetName val="TRAFİK"/>
      <sheetName val="HAVA ARAÇLARI SORUMLULUK"/>
      <sheetName val="SU ARAÇLARI SORUMLULUK"/>
      <sheetName val="GENEL SORUMLULUK"/>
      <sheetName val="KREDİ"/>
      <sheetName val="KEFALET"/>
      <sheetName val="FİNANSAL KAYIPLAR"/>
      <sheetName val="HUKUKSAL KORUMA"/>
      <sheetName val="DESTEK"/>
      <sheetName val="DEV. DEST. TARIM SİGORTALARI"/>
      <sheetName val="MÜHENDİSLİK SİGORTALARI"/>
      <sheetName val="HAYAT TOPLAM"/>
      <sheetName val="H-HASTALIK SAĞLIK"/>
      <sheetName val="HAYAT GRUBU TOPLAM"/>
      <sheetName val="Bilanço Detay Aktif"/>
      <sheetName val="Bilanço"/>
      <sheetName val="Aktif Cari 1"/>
      <sheetName val="Aktif Cari 2"/>
      <sheetName val="Aktif Cari Olmayan"/>
      <sheetName val="Bilanço Detay Pasif"/>
      <sheetName val="Pasif 1"/>
      <sheetName val="Pasif 2"/>
      <sheetName val="Bilanço Özet"/>
      <sheetName val="Bilanço (2)"/>
      <sheetName val="Aktif Detay"/>
      <sheetName val="Aktif Ozet"/>
      <sheetName val="Pasif Detay"/>
      <sheetName val="Pasif Ozet"/>
      <sheetName val="Hasar-Prim Oranları"/>
      <sheetName val="GENEL"/>
      <sheetName val="HAYATDISI (3)"/>
      <sheetName val="HAYAT (3)"/>
      <sheetName val="KAZA (2)"/>
      <sheetName val="HASTALIK-SAĞLIK (2)"/>
      <sheetName val="KARA ARAÇLARI (2)"/>
      <sheetName val="KASKO (2)"/>
      <sheetName val="RAYLI ARAÇLAR (2)"/>
      <sheetName val="HAVA ARAÇLARI (2)"/>
      <sheetName val="SU ARAÇLARI (2)"/>
      <sheetName val="NAKLİYAT (2)"/>
      <sheetName val="YANGIN VE DOĞAL AFETLER (2)"/>
      <sheetName val="GENEL ZARARLAR (2)"/>
      <sheetName val="KARA ARAÇLARI SORUMLULUK (2)"/>
      <sheetName val="TRAFİK (2)"/>
      <sheetName val="HAVA ARAÇLARI SORUMLULUK (2)"/>
      <sheetName val="SU ARAÇLARI SORUMLULUK (2)"/>
      <sheetName val="GENEL SORUMLULUK (2)"/>
      <sheetName val="KREDİ (2)"/>
      <sheetName val="KEFALET (2)"/>
      <sheetName val="FİNANSAL KAYIPLAR (2)"/>
      <sheetName val="HUKUKSAL KORUMA (2)"/>
      <sheetName val="DESTEK (2)"/>
      <sheetName val="DEV. DEST. TARIM SİGORTALAR (2"/>
      <sheetName val="MÜHENDİSLİK SİGORTALARI (2)"/>
      <sheetName val="Faaliyet Giderleri"/>
      <sheetName val="OZET"/>
      <sheetName val="GENEL (2)"/>
      <sheetName val="HAYATDISI (4)"/>
      <sheetName val="HAYAT (4)"/>
      <sheetName val="EMEKLILIK"/>
      <sheetName val="KAZA (3)"/>
      <sheetName val="HASTALIK-SAĞLIK (3)"/>
      <sheetName val="KARA ARAÇLARI (3)"/>
      <sheetName val="KASKO (3)"/>
      <sheetName val="RAYLI ARAÇLAR (3)"/>
      <sheetName val="HAVA ARAÇLARI (3)"/>
      <sheetName val="SU ARAÇLARI (3)"/>
      <sheetName val="NAKLİYAT (3)"/>
      <sheetName val="YANGIN VE DOĞAL AFETLER (3)"/>
      <sheetName val="GENEL ZARARLAR (3)"/>
      <sheetName val="KARA ARAÇLARI SORUMLULUK (3)"/>
      <sheetName val="TRAFİK (3)"/>
      <sheetName val="HAVA ARAÇLARI SORUMLULUK (3)"/>
      <sheetName val="SU ARAÇLARI SORUMLULUK (3)"/>
      <sheetName val="GENEL SORUMLULUK (3)"/>
      <sheetName val="KREDİ (3)"/>
      <sheetName val="KEFALET (3)"/>
      <sheetName val="FİNANSAL KAYIPLAR (3)"/>
      <sheetName val="HUKUKSAL KORUMA (3)"/>
      <sheetName val="DESTEK (3)"/>
      <sheetName val="DEV. DEST. TARIM SİGORTALARI (3"/>
      <sheetName val="MÜHENDİSLİK SİGORTALARI (3)"/>
      <sheetName val="Konsolide Tablolar"/>
      <sheetName val="Hayat Dışı (şirketler)"/>
      <sheetName val="Hayat Dışı (reasürans şirk)"/>
      <sheetName val="Hayat (şirketler)"/>
      <sheetName val="Hayat (reasürans şirk)"/>
      <sheetName val="Emeklilik (şirketler)"/>
      <sheetName val="Mali Neticeler"/>
      <sheetName val="Bilanço Aktif"/>
      <sheetName val="Bilanço Pasif"/>
      <sheetName val="Dağıtım Kanalı Bazında Üretim"/>
      <sheetName val="Genel(4)"/>
      <sheetName val="HAYATDISI (5)"/>
      <sheetName val="HAYAT (5)"/>
      <sheetName val="701 (2)"/>
      <sheetName val="702 (2)"/>
      <sheetName val="703 (2)"/>
      <sheetName val="704 (2)"/>
      <sheetName val="705 (2)"/>
      <sheetName val="706 (2)"/>
      <sheetName val="707 (2)"/>
      <sheetName val="708 (2)"/>
      <sheetName val="710 (2)"/>
      <sheetName val="711 (2)"/>
      <sheetName val="712 (2)"/>
      <sheetName val="713 (2)"/>
      <sheetName val="714 (2)"/>
      <sheetName val="715 (2)"/>
      <sheetName val="716 (2)"/>
      <sheetName val="717 (2)"/>
      <sheetName val="718 (2)"/>
      <sheetName val="719 (2)"/>
      <sheetName val="720 (2)"/>
      <sheetName val="721 (2)"/>
      <sheetName val="722 (2)"/>
      <sheetName val="723 (2)"/>
      <sheetName val="724 (2)"/>
      <sheetName val="725 (2)"/>
      <sheetName val="726 (2)"/>
      <sheetName val="727 (2)"/>
      <sheetName val="728 (2)"/>
      <sheetName val="729 (2)"/>
      <sheetName val="730 (2)"/>
      <sheetName val="731 (2)"/>
      <sheetName val="732 (2)"/>
      <sheetName val="733 (2)"/>
      <sheetName val="734 (2)"/>
      <sheetName val="735 (2)"/>
      <sheetName val="736 (2)"/>
      <sheetName val="737 (2)"/>
      <sheetName val="738 (2)"/>
      <sheetName val="739 (2)"/>
      <sheetName val="740 (2)"/>
      <sheetName val="741 (2)"/>
      <sheetName val="742 (2)"/>
      <sheetName val="743 (2)"/>
      <sheetName val="744 (2)"/>
      <sheetName val="745 (2)"/>
      <sheetName val="746 (2)"/>
      <sheetName val="747 (2)"/>
      <sheetName val="748 (2)"/>
      <sheetName val="749 (2)"/>
      <sheetName val="750 (2)"/>
      <sheetName val="751 (2)"/>
      <sheetName val="752 (2)"/>
      <sheetName val="753 (2)"/>
      <sheetName val="754 (2)"/>
      <sheetName val="755 (2)"/>
      <sheetName val="756 (2)"/>
      <sheetName val="757 (2)"/>
      <sheetName val="758 (2)"/>
      <sheetName val="759 (2)"/>
      <sheetName val="760 (2)"/>
      <sheetName val="761 (2)"/>
      <sheetName val="765 (2)"/>
      <sheetName val="766 (2)"/>
      <sheetName val="767 (2)"/>
      <sheetName val="768 (2)"/>
      <sheetName val="769 (2)"/>
      <sheetName val="770 (2)"/>
      <sheetName val="771 (2)"/>
      <sheetName val="772 (2)"/>
      <sheetName val="773 (2)"/>
      <sheetName val="774 (2)"/>
      <sheetName val="775 (2)"/>
      <sheetName val="776 (2)"/>
      <sheetName val="777 (2)"/>
      <sheetName val="778 (2)"/>
      <sheetName val="779 (2)"/>
      <sheetName val="780 (2)"/>
      <sheetName val="781 (2)"/>
      <sheetName val="782 (2)"/>
      <sheetName val="783 (2)"/>
      <sheetName val="784 (2)"/>
      <sheetName val="785 (2)"/>
      <sheetName val="786 (2)"/>
      <sheetName val="789 (2)"/>
      <sheetName val="798 (2)"/>
      <sheetName val="855 (2)"/>
      <sheetName val="856 (2)"/>
      <sheetName val="790 (2)"/>
      <sheetName val="791 (2)"/>
      <sheetName val="792 (2)"/>
      <sheetName val="793 (2)"/>
      <sheetName val="794 (2)"/>
      <sheetName val="795 (2)"/>
      <sheetName val="796 (2)"/>
      <sheetName val="797 (2)"/>
      <sheetName val="799 (2)"/>
      <sheetName val="Özet"/>
      <sheetName val="Genel (3)"/>
      <sheetName val="Kasko Trafik"/>
      <sheetName val="1001-B"/>
      <sheetName val="1001-G"/>
      <sheetName val="1001-GTD"/>
      <sheetName val="1003-B"/>
      <sheetName val="1003-G"/>
      <sheetName val="1003-GTD"/>
      <sheetName val="1004-B"/>
      <sheetName val="1004-G"/>
      <sheetName val="1004-GTD"/>
      <sheetName val="1005-B"/>
      <sheetName val="1005-G"/>
      <sheetName val="1005-GTD"/>
      <sheetName val="1006-B"/>
      <sheetName val="1006-G"/>
      <sheetName val="1006-GTD"/>
      <sheetName val="1007-B"/>
      <sheetName val="1007-G"/>
      <sheetName val="1007-GTD"/>
      <sheetName val="1008-B"/>
      <sheetName val="1008-G"/>
      <sheetName val="1008-GTD"/>
      <sheetName val="1009-B"/>
      <sheetName val="1009-G"/>
      <sheetName val="1009-GTD"/>
      <sheetName val="1010-B"/>
      <sheetName val="1010-G"/>
      <sheetName val="1010-GTD"/>
      <sheetName val="1011-B"/>
      <sheetName val="1011-G"/>
      <sheetName val="1011-GTD"/>
      <sheetName val="1012-B"/>
      <sheetName val="1012-G"/>
      <sheetName val="1012-GTD"/>
      <sheetName val="1013-B"/>
      <sheetName val="1013-G"/>
      <sheetName val="1013-GTD"/>
      <sheetName val="1016-B"/>
      <sheetName val="1016-G"/>
      <sheetName val="1016-GTD"/>
      <sheetName val="1017-B"/>
      <sheetName val="1017-G"/>
      <sheetName val="1017-GTD"/>
      <sheetName val="1018-B"/>
      <sheetName val="1018-G"/>
      <sheetName val="1018-GTD"/>
      <sheetName val="1020-B"/>
      <sheetName val="1020-G"/>
      <sheetName val="1020-GTD"/>
      <sheetName val="1022-B"/>
      <sheetName val="1022-G"/>
      <sheetName val="1022-GTD"/>
      <sheetName val="1025-B"/>
      <sheetName val="1025-G"/>
      <sheetName val="1025-GTD"/>
      <sheetName val="1027-B"/>
      <sheetName val="1027-G"/>
      <sheetName val="1027-GTD"/>
      <sheetName val="1028-B"/>
      <sheetName val="1028-G"/>
      <sheetName val="1028-GTD"/>
      <sheetName val="1030-B"/>
      <sheetName val="1030-G"/>
      <sheetName val="1030-GTD"/>
      <sheetName val="1031-B"/>
      <sheetName val="1031-G"/>
      <sheetName val="1031-GTD"/>
      <sheetName val="1032-B"/>
      <sheetName val="1032-G"/>
      <sheetName val="1032-GTD"/>
      <sheetName val="1034-B"/>
      <sheetName val="1034-G"/>
      <sheetName val="1034-GTD"/>
      <sheetName val="1035-B"/>
      <sheetName val="1035-G"/>
      <sheetName val="1035-GTD"/>
      <sheetName val="1036-B"/>
      <sheetName val="1036-G"/>
      <sheetName val="1036-GTD"/>
      <sheetName val="1037-B"/>
      <sheetName val="1037-G"/>
      <sheetName val="1037-GTD"/>
      <sheetName val="1038-B"/>
      <sheetName val="1038-G"/>
      <sheetName val="1038-GTD"/>
      <sheetName val="1039-B"/>
      <sheetName val="1039-G"/>
      <sheetName val="1039-GTD"/>
      <sheetName val="1040-B"/>
      <sheetName val="1040-G"/>
      <sheetName val="1040-GTD"/>
      <sheetName val="1043-B"/>
      <sheetName val="1043-G"/>
      <sheetName val="1043-GTD"/>
      <sheetName val="1044-B"/>
      <sheetName val="1044-G"/>
      <sheetName val="1044-GTD"/>
      <sheetName val="1045-B"/>
      <sheetName val="1045-G"/>
      <sheetName val="1045-GTD"/>
      <sheetName val="1046-B"/>
      <sheetName val="1046-G"/>
      <sheetName val="1046-GTD"/>
      <sheetName val="1048-B"/>
      <sheetName val="1048-G"/>
      <sheetName val="1048-GTD"/>
      <sheetName val="1049-B"/>
      <sheetName val="1049-G"/>
      <sheetName val="1049-GTD"/>
      <sheetName val="1051-B"/>
      <sheetName val="1051-G"/>
      <sheetName val="1051-GTD"/>
      <sheetName val="1052-B"/>
      <sheetName val="1052-G"/>
      <sheetName val="1052-GTD"/>
      <sheetName val="1053-B"/>
      <sheetName val="1053-G"/>
      <sheetName val="1053-GTD"/>
      <sheetName val="1056-B"/>
      <sheetName val="1056-G"/>
      <sheetName val="1056-GTD"/>
      <sheetName val="1057-B"/>
      <sheetName val="1057-G"/>
      <sheetName val="1057-GTD"/>
      <sheetName val="1058-B"/>
      <sheetName val="1058-G"/>
      <sheetName val="1058-GTD"/>
      <sheetName val="1059-B"/>
      <sheetName val="1059-G"/>
      <sheetName val="1059-GTD"/>
      <sheetName val="1060-B"/>
      <sheetName val="1060-G"/>
      <sheetName val="1060-GTD"/>
      <sheetName val="1061-B"/>
      <sheetName val="1061-G"/>
      <sheetName val="1061-GTD"/>
      <sheetName val="2001-B"/>
      <sheetName val="2001-G"/>
      <sheetName val="2001-GTD"/>
      <sheetName val="2002-B"/>
      <sheetName val="2002-G"/>
      <sheetName val="2002-GTD"/>
      <sheetName val="2005-B"/>
      <sheetName val="2005-G"/>
      <sheetName val="2005-GTD"/>
      <sheetName val="2006-B"/>
      <sheetName val="2006-G"/>
      <sheetName val="2006-GTD"/>
      <sheetName val="2007-B"/>
      <sheetName val="2007-G"/>
      <sheetName val="2007-GTD"/>
      <sheetName val="2008-B"/>
      <sheetName val="2008-G"/>
      <sheetName val="2008-GTD"/>
      <sheetName val="3001-B"/>
      <sheetName val="3001-G"/>
      <sheetName val="3001-GTD"/>
      <sheetName val="3002-B"/>
      <sheetName val="3002-G"/>
      <sheetName val="3002-GTD"/>
      <sheetName val="3003-B"/>
      <sheetName val="3003-G"/>
      <sheetName val="3003-GTD"/>
      <sheetName val="3004-B"/>
      <sheetName val="3004-G"/>
      <sheetName val="3004-GTD"/>
      <sheetName val="3005-B"/>
      <sheetName val="3005-G"/>
      <sheetName val="3005-GTD"/>
      <sheetName val="3006-B"/>
      <sheetName val="3006-G"/>
      <sheetName val="3006-GTD"/>
      <sheetName val="3007-B"/>
      <sheetName val="3007-G"/>
      <sheetName val="3007-GTD"/>
      <sheetName val="3008-B"/>
      <sheetName val="3008-G"/>
      <sheetName val="3008-GTD"/>
      <sheetName val="3009-B"/>
      <sheetName val="3009-G"/>
      <sheetName val="3009-GTD"/>
      <sheetName val="3011-B"/>
      <sheetName val="3011-G"/>
      <sheetName val="3011-GTD"/>
      <sheetName val="3012-B"/>
      <sheetName val="3012-G"/>
      <sheetName val="3012-GTD"/>
      <sheetName val="3016-B"/>
      <sheetName val="3016-G"/>
      <sheetName val="3016-GTD"/>
      <sheetName val="3017-B"/>
      <sheetName val="3017-G"/>
      <sheetName val="3017-GTD"/>
      <sheetName val="3018-B"/>
      <sheetName val="3018-G"/>
      <sheetName val="3018-GT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BF3" t="str">
            <v>Hayatdışı</v>
          </cell>
          <cell r="BH3" t="str">
            <v>Brüt Yazılan Primler</v>
          </cell>
        </row>
        <row r="4">
          <cell r="BF4" t="str">
            <v>Hayat</v>
          </cell>
          <cell r="BH4" t="str">
            <v>Brüt Kazanılan Primler</v>
          </cell>
        </row>
        <row r="5">
          <cell r="BF5" t="str">
            <v>Yangın</v>
          </cell>
          <cell r="BH5" t="str">
            <v>Brüt Ödenen Tazminatlar</v>
          </cell>
        </row>
        <row r="6">
          <cell r="BF6" t="str">
            <v>Kar Kaybı</v>
          </cell>
          <cell r="BH6" t="str">
            <v>Brüt Muallak Tazminatlar</v>
          </cell>
        </row>
        <row r="7">
          <cell r="BF7" t="str">
            <v>Zorunlu Deprem</v>
          </cell>
          <cell r="BH7" t="str">
            <v>Brüt Raporlanmayan Tazminatlar</v>
          </cell>
        </row>
        <row r="8">
          <cell r="BF8" t="str">
            <v>Maden Çalışanları Zorunlu Ferdi Kaza</v>
          </cell>
          <cell r="BH8" t="str">
            <v>Brüt Gerçekleşen Hasarlar</v>
          </cell>
        </row>
        <row r="9">
          <cell r="BF9" t="str">
            <v>Doğrudan Kefalet</v>
          </cell>
          <cell r="BH9" t="str">
            <v>Net Yazılan Primler</v>
          </cell>
        </row>
        <row r="10">
          <cell r="BF10" t="str">
            <v>Dolaylı Kefalet</v>
          </cell>
          <cell r="BH10" t="str">
            <v>Net Kazanılan Primler</v>
          </cell>
        </row>
        <row r="11">
          <cell r="BF11" t="str">
            <v>Devlet Destekli Ticari Alacak</v>
          </cell>
          <cell r="BH11" t="str">
            <v>Net Ödenen Tazminatlar</v>
          </cell>
        </row>
        <row r="12">
          <cell r="BF12" t="str">
            <v>Bina Tamamlama</v>
          </cell>
          <cell r="BH12" t="str">
            <v>Net Muallak Tazminatlar</v>
          </cell>
        </row>
        <row r="13">
          <cell r="BF13" t="str">
            <v>Emtea</v>
          </cell>
          <cell r="BH13" t="str">
            <v>Net Raporlanmayan Tazminatlar</v>
          </cell>
        </row>
        <row r="14">
          <cell r="BF14" t="str">
            <v>Kıymet</v>
          </cell>
          <cell r="BH14" t="str">
            <v>Net Gerçekleşen Hasarlar</v>
          </cell>
        </row>
        <row r="15">
          <cell r="BF15" t="str">
            <v>Tekne</v>
          </cell>
          <cell r="BH15" t="str">
            <v>Teknik Kar Zarar</v>
          </cell>
        </row>
        <row r="16">
          <cell r="BF16" t="str">
            <v>Raylı Araçlar</v>
          </cell>
        </row>
        <row r="17">
          <cell r="BF17" t="str">
            <v>Zorunlu Karayolu Tasımacılık Mali Sorumluluk</v>
          </cell>
        </row>
        <row r="18">
          <cell r="BF18" t="str">
            <v>KTK ZMSS (Trafik) (Yeşil Kart Dahil)</v>
          </cell>
        </row>
        <row r="19">
          <cell r="BF19" t="str">
            <v>İhtiyari Mali Sorumluluk</v>
          </cell>
        </row>
        <row r="20">
          <cell r="BF20" t="str">
            <v>Kasko</v>
          </cell>
        </row>
        <row r="21">
          <cell r="BF21" t="str">
            <v>Karayolu Yolcu Taşımacılığı Zorunlu Koltuk Ferdi Kaza</v>
          </cell>
        </row>
        <row r="22">
          <cell r="BF22" t="str">
            <v>İşveren Mali Sorumluluk</v>
          </cell>
        </row>
        <row r="23">
          <cell r="BF23" t="str">
            <v>Üçüncü Şahıslara Karşı MS</v>
          </cell>
        </row>
        <row r="24">
          <cell r="BF24" t="str">
            <v>Asansör Kaza 3. Şahıs MS</v>
          </cell>
        </row>
        <row r="25">
          <cell r="BF25" t="str">
            <v>Çevre Kirliliği Mali Sorumluluk</v>
          </cell>
        </row>
        <row r="26">
          <cell r="BF26" t="str">
            <v>Cam Kırılması</v>
          </cell>
        </row>
        <row r="27">
          <cell r="BF27" t="str">
            <v>Hırsızlık</v>
          </cell>
        </row>
        <row r="28">
          <cell r="BF28" t="str">
            <v>Tüpgaz Zorunlu Sorumluluk</v>
          </cell>
        </row>
        <row r="29">
          <cell r="BF29" t="str">
            <v>Tehlike Maddeler Zorunlu Sorumluluk</v>
          </cell>
        </row>
        <row r="30">
          <cell r="BF30" t="str">
            <v>Uçak Tekne</v>
          </cell>
        </row>
        <row r="31">
          <cell r="BF31" t="str">
            <v>Uçak Mali Mesuliyet</v>
          </cell>
        </row>
        <row r="32">
          <cell r="BF32" t="str">
            <v>Uçak Yolcu Kaza</v>
          </cell>
        </row>
        <row r="33">
          <cell r="BF33" t="str">
            <v>Tıbbı Kötü Uygulamaya İlişkin ZMSS</v>
          </cell>
        </row>
        <row r="34">
          <cell r="BF34" t="str">
            <v>Özel Güvenlik MSs</v>
          </cell>
        </row>
        <row r="35">
          <cell r="BF35" t="str">
            <v>Zorunlu Sertifika MS</v>
          </cell>
        </row>
        <row r="36">
          <cell r="BF36" t="str">
            <v>Mesleki Sorumluluk</v>
          </cell>
        </row>
        <row r="37">
          <cell r="BF37" t="str">
            <v>Kıyı Tesisleri Deniz Kirliliği Zorunlu MS</v>
          </cell>
        </row>
        <row r="38">
          <cell r="BF38" t="str">
            <v>Tekne Sorumluluk</v>
          </cell>
        </row>
        <row r="39">
          <cell r="BF39" t="str">
            <v>Emniyeti Suistimal</v>
          </cell>
        </row>
        <row r="40">
          <cell r="BF40" t="str">
            <v>Motorlu Kara Taşıtları Dışındaki Kara Taşıtları</v>
          </cell>
        </row>
        <row r="41">
          <cell r="BF41" t="str">
            <v>Nehir Araçları</v>
          </cell>
        </row>
        <row r="42">
          <cell r="BF42" t="str">
            <v>Göl Araçları</v>
          </cell>
        </row>
        <row r="43">
          <cell r="BF43" t="str">
            <v>İhtiyari Deprem</v>
          </cell>
        </row>
        <row r="44">
          <cell r="BF44" t="str">
            <v>Sel</v>
          </cell>
        </row>
        <row r="45">
          <cell r="BF45" t="str">
            <v>Deprem Ve Sel Dışındaki Doğal Afetler</v>
          </cell>
        </row>
        <row r="46">
          <cell r="BF46" t="str">
            <v>Nükleer Enerji</v>
          </cell>
        </row>
        <row r="47">
          <cell r="BF47" t="str">
            <v>Toprak Kayması</v>
          </cell>
        </row>
        <row r="48">
          <cell r="BF48" t="str">
            <v>Tasitli Kredi</v>
          </cell>
        </row>
        <row r="49">
          <cell r="BF49" t="str">
            <v>Uzun Vadeli Konut Kredisi</v>
          </cell>
        </row>
        <row r="50">
          <cell r="BF50" t="str">
            <v>Tarım Kredisi</v>
          </cell>
        </row>
        <row r="51">
          <cell r="BF51" t="str">
            <v>İstihdam</v>
          </cell>
        </row>
        <row r="52">
          <cell r="BF52" t="str">
            <v>Gelir Yetersizliği</v>
          </cell>
        </row>
      </sheetData>
      <sheetData sheetId="5">
        <row r="1">
          <cell r="KV1" t="str">
            <v>Hayatdışı</v>
          </cell>
        </row>
        <row r="2">
          <cell r="KV2" t="str">
            <v>Yangın</v>
          </cell>
        </row>
        <row r="3">
          <cell r="KV3" t="str">
            <v>Kar Kaybı</v>
          </cell>
        </row>
        <row r="4">
          <cell r="KV4" t="str">
            <v>Zorunlu Deprem</v>
          </cell>
        </row>
        <row r="5">
          <cell r="KV5" t="str">
            <v>Maden Çalışanları Zorunlu Ferdi Kaza</v>
          </cell>
        </row>
        <row r="6">
          <cell r="KV6" t="str">
            <v>Doğrudan Kefalet</v>
          </cell>
        </row>
        <row r="7">
          <cell r="KV7" t="str">
            <v>Dolaylı Kefalet</v>
          </cell>
        </row>
        <row r="8">
          <cell r="KV8" t="str">
            <v>Bina Tamamlama</v>
          </cell>
        </row>
        <row r="9">
          <cell r="KV9" t="str">
            <v>Emtea</v>
          </cell>
        </row>
        <row r="10">
          <cell r="KV10" t="str">
            <v>Kıymet</v>
          </cell>
        </row>
        <row r="11">
          <cell r="KV11" t="str">
            <v>Tekne</v>
          </cell>
        </row>
        <row r="12">
          <cell r="KV12" t="str">
            <v>Raylı Araçlar</v>
          </cell>
        </row>
        <row r="13">
          <cell r="KV13" t="str">
            <v>Zorunlu Karayolu Tasımacılık Mali Sorumluluk</v>
          </cell>
        </row>
        <row r="14">
          <cell r="KV14" t="str">
            <v>KTK ZMSS (Trafik) (Yeşil Kart Dahil)</v>
          </cell>
        </row>
        <row r="15">
          <cell r="KV15" t="str">
            <v>İhtiyari Mali Sorumluluk</v>
          </cell>
        </row>
        <row r="16">
          <cell r="KV16" t="str">
            <v>Kasko</v>
          </cell>
        </row>
        <row r="17">
          <cell r="KV17" t="str">
            <v>Karayolu Yolcu Taşımacılığı Zorunlu Koltuk Ferdi Kaza</v>
          </cell>
        </row>
        <row r="18">
          <cell r="KV18" t="str">
            <v>İşveren Mali Sorumluluk</v>
          </cell>
        </row>
        <row r="19">
          <cell r="KV19" t="str">
            <v>Üçüncü Şahıslara Karşı MS</v>
          </cell>
        </row>
        <row r="20">
          <cell r="KV20" t="str">
            <v>Asansör Kaza 3. Şahıs MS</v>
          </cell>
        </row>
        <row r="21">
          <cell r="KV21" t="str">
            <v>Çevre Kirliliği Mali Sorumluluk</v>
          </cell>
        </row>
        <row r="22">
          <cell r="KV22" t="str">
            <v>Hırsızlık</v>
          </cell>
        </row>
        <row r="23">
          <cell r="KV23" t="str">
            <v>Tüpgaz Zorunlu Sorumluluk</v>
          </cell>
        </row>
        <row r="24">
          <cell r="KV24" t="str">
            <v>Tehlike Maddeler Zorunlu Sorumluluk</v>
          </cell>
        </row>
        <row r="25">
          <cell r="KV25" t="str">
            <v>Uçak Tekne</v>
          </cell>
        </row>
        <row r="26">
          <cell r="KV26" t="str">
            <v>Uçak Mali Mesuliyet</v>
          </cell>
        </row>
        <row r="27">
          <cell r="KV27" t="str">
            <v>Uçak Yolcu Kaza</v>
          </cell>
        </row>
        <row r="28">
          <cell r="KV28" t="str">
            <v>Tıbbı Kötü Uygulamaya İlişkin ZMSS</v>
          </cell>
        </row>
        <row r="29">
          <cell r="KV29" t="str">
            <v>Özel Güvenlik MSs</v>
          </cell>
        </row>
        <row r="30">
          <cell r="KV30" t="str">
            <v>Zorunlu Sertifika MS</v>
          </cell>
        </row>
        <row r="31">
          <cell r="KV31" t="str">
            <v>Mesleki Sorumluluk</v>
          </cell>
        </row>
        <row r="32">
          <cell r="KV32" t="str">
            <v>Kıyı Tesisleri Deniz Kirliliği Zorunlu MS</v>
          </cell>
        </row>
        <row r="33">
          <cell r="KV33" t="str">
            <v>Emniyeti Suistimal</v>
          </cell>
        </row>
        <row r="34">
          <cell r="KV34" t="str">
            <v>Motorlu Kara Taşıtları Dışındaki Kara Taşıtları</v>
          </cell>
        </row>
        <row r="35">
          <cell r="KV35" t="str">
            <v>Nehir Araçları</v>
          </cell>
        </row>
        <row r="36">
          <cell r="KV36" t="str">
            <v>Göl Araçları</v>
          </cell>
        </row>
        <row r="37">
          <cell r="KV37" t="str">
            <v>Sel</v>
          </cell>
        </row>
        <row r="38">
          <cell r="KV38" t="str">
            <v>Deprem Ve Sel Dışındaki Doğal Afetler</v>
          </cell>
        </row>
        <row r="39">
          <cell r="KV39" t="str">
            <v>Nükleer Enerji</v>
          </cell>
        </row>
        <row r="40">
          <cell r="KV40" t="str">
            <v>Tasitli Kredi</v>
          </cell>
        </row>
        <row r="41">
          <cell r="KV41" t="str">
            <v>Tarım Kredisi</v>
          </cell>
        </row>
        <row r="42">
          <cell r="KV42" t="str">
            <v>İstihdam</v>
          </cell>
        </row>
        <row r="43">
          <cell r="KV43" t="str">
            <v>Gelir Yetersizliği</v>
          </cell>
        </row>
        <row r="44">
          <cell r="KV44" t="str">
            <v>Ferdi Kaza</v>
          </cell>
        </row>
        <row r="45">
          <cell r="KV45" t="str">
            <v>Uzun Süreli Ferdi Kaza</v>
          </cell>
        </row>
        <row r="46">
          <cell r="KV46" t="str">
            <v>Genel Giderler</v>
          </cell>
        </row>
        <row r="47">
          <cell r="KV47" t="str">
            <v>Beklenmeyen Ticari Giderler</v>
          </cell>
        </row>
        <row r="48">
          <cell r="KV48" t="str">
            <v>Kredi</v>
          </cell>
        </row>
        <row r="49">
          <cell r="KV49" t="str">
            <v>İhracat Kredi</v>
          </cell>
        </row>
        <row r="50">
          <cell r="KV50" t="str">
            <v>Piyasa Değerindeki Kayıp</v>
          </cell>
        </row>
        <row r="51">
          <cell r="KV51" t="str">
            <v>Diğer Finansal Kayıplar</v>
          </cell>
        </row>
        <row r="52">
          <cell r="KV52" t="str">
            <v>Hukuksal Koruma</v>
          </cell>
        </row>
        <row r="53">
          <cell r="KV53" t="str">
            <v>Patlama</v>
          </cell>
        </row>
        <row r="54">
          <cell r="KV54" t="str">
            <v>Makine Kırılması</v>
          </cell>
        </row>
        <row r="55">
          <cell r="KV55" t="str">
            <v>Montaj</v>
          </cell>
        </row>
        <row r="56">
          <cell r="KV56" t="str">
            <v>İnşaat</v>
          </cell>
        </row>
        <row r="57">
          <cell r="KV57" t="str">
            <v>Elektronik Cihaz</v>
          </cell>
        </row>
        <row r="58">
          <cell r="KV58" t="str">
            <v>Deniz Yolu Yolcu Taşımacılığı ZMS</v>
          </cell>
        </row>
        <row r="59">
          <cell r="KV59" t="str">
            <v>Devlet Destekli Arıcılık</v>
          </cell>
        </row>
        <row r="60">
          <cell r="KV60" t="str">
            <v>Su Ürünleri</v>
          </cell>
        </row>
        <row r="61">
          <cell r="KV61" t="str">
            <v>Dolu Sera</v>
          </cell>
        </row>
        <row r="62">
          <cell r="KV62" t="str">
            <v>Devlet Destekli Sera</v>
          </cell>
        </row>
        <row r="63">
          <cell r="KV63" t="str">
            <v>Devlet Destekli Bitkisel Ürün</v>
          </cell>
        </row>
        <row r="64">
          <cell r="KV64" t="str">
            <v>Devlet Destekli Su Ürünleri</v>
          </cell>
        </row>
        <row r="65">
          <cell r="KV65" t="str">
            <v>Devlet Destekli Hayvan Hayat</v>
          </cell>
        </row>
        <row r="66">
          <cell r="KV66" t="str">
            <v>Hayvan Hayat</v>
          </cell>
        </row>
        <row r="67">
          <cell r="KV67" t="str">
            <v>Kümes Hayvan. Hayat</v>
          </cell>
        </row>
        <row r="68">
          <cell r="KV68" t="str">
            <v>Devlet Destekli Küçükbaş Hayvan Hayat</v>
          </cell>
        </row>
        <row r="69">
          <cell r="KV69" t="str">
            <v>Hastalık</v>
          </cell>
        </row>
        <row r="70">
          <cell r="KV70" t="str">
            <v>Sağlık</v>
          </cell>
        </row>
        <row r="71">
          <cell r="KV71" t="str">
            <v>Destek</v>
          </cell>
        </row>
        <row r="72">
          <cell r="KV72" t="str">
            <v>Yeşil Kart</v>
          </cell>
        </row>
        <row r="73">
          <cell r="KV73" t="str">
            <v>Devlet Destekli Ticari Alacak</v>
          </cell>
        </row>
        <row r="74">
          <cell r="KV74" t="str">
            <v>Ürün Sorumluluk</v>
          </cell>
        </row>
      </sheetData>
      <sheetData sheetId="6">
        <row r="1">
          <cell r="KS1" t="str">
            <v>Hayat</v>
          </cell>
        </row>
        <row r="2">
          <cell r="KS2" t="str">
            <v>İrat Ödemeli Hayat Sigortaları</v>
          </cell>
        </row>
        <row r="3">
          <cell r="KS3" t="str">
            <v>Diğer Hayat Sigortaları</v>
          </cell>
        </row>
        <row r="4">
          <cell r="KS4" t="str">
            <v>Evlilik/Doğum Sigortası</v>
          </cell>
        </row>
        <row r="5">
          <cell r="KS5" t="str">
            <v>Yatırım Fonlu Sigortalar</v>
          </cell>
        </row>
        <row r="6">
          <cell r="KS6" t="str">
            <v>Sermaye İtfa Sigortası</v>
          </cell>
        </row>
        <row r="7">
          <cell r="KS7" t="str">
            <v>Fon Yönetim İşlemi Sigortası</v>
          </cell>
        </row>
        <row r="8">
          <cell r="KS8" t="str">
            <v>Hastalık</v>
          </cell>
        </row>
        <row r="9">
          <cell r="KS9" t="str">
            <v>Sağlık</v>
          </cell>
        </row>
        <row r="10">
          <cell r="KS10" t="str">
            <v>Tontin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3">
          <cell r="BF3" t="str">
            <v>Hayat Dışı</v>
          </cell>
        </row>
        <row r="4">
          <cell r="BF4" t="str">
            <v>Hayat</v>
          </cell>
        </row>
        <row r="5">
          <cell r="BF5" t="str">
            <v>Kaza</v>
          </cell>
        </row>
        <row r="6">
          <cell r="BF6" t="str">
            <v>Hastalık-Sağlık</v>
          </cell>
        </row>
        <row r="7">
          <cell r="BF7" t="str">
            <v>Kara Araçları</v>
          </cell>
        </row>
        <row r="8">
          <cell r="BF8" t="str">
            <v>Kasko</v>
          </cell>
        </row>
        <row r="9">
          <cell r="BF9" t="str">
            <v>Raylı Araçlar</v>
          </cell>
        </row>
        <row r="10">
          <cell r="BF10" t="str">
            <v>Hava Araçları</v>
          </cell>
        </row>
        <row r="11">
          <cell r="BF11" t="str">
            <v>Su Araçları</v>
          </cell>
        </row>
        <row r="12">
          <cell r="BF12" t="str">
            <v>Nakliyat</v>
          </cell>
        </row>
        <row r="13">
          <cell r="BF13" t="str">
            <v>Yangın ve Doğal Afetler</v>
          </cell>
        </row>
        <row r="14">
          <cell r="BF14" t="str">
            <v>Genel Zararlar</v>
          </cell>
        </row>
        <row r="15">
          <cell r="BF15" t="str">
            <v>Kara Araçları Sorumluluk</v>
          </cell>
        </row>
        <row r="16">
          <cell r="BF16" t="str">
            <v>Trafik</v>
          </cell>
        </row>
        <row r="17">
          <cell r="BF17" t="str">
            <v>Hava Araçları Sorumluluk</v>
          </cell>
        </row>
        <row r="18">
          <cell r="BF18" t="str">
            <v>Su Araçları Sorumluluk</v>
          </cell>
        </row>
        <row r="19">
          <cell r="BF19" t="str">
            <v>Genel Sorumluluk</v>
          </cell>
        </row>
        <row r="20">
          <cell r="BF20" t="str">
            <v>Kredi</v>
          </cell>
        </row>
        <row r="21">
          <cell r="BF21" t="str">
            <v>Kefalet</v>
          </cell>
        </row>
        <row r="22">
          <cell r="BF22" t="str">
            <v>Finansal Kayıplar</v>
          </cell>
        </row>
        <row r="23">
          <cell r="BF23" t="str">
            <v>Hukuksal Koruma</v>
          </cell>
        </row>
        <row r="24">
          <cell r="BF24" t="str">
            <v>Destek</v>
          </cell>
        </row>
        <row r="25">
          <cell r="BF25" t="str">
            <v>Devlet Destekli Tarım Sigortaları</v>
          </cell>
        </row>
        <row r="26">
          <cell r="BF26" t="str">
            <v>Mühendislik Sigortaları</v>
          </cell>
        </row>
        <row r="27">
          <cell r="BF27" t="str">
            <v>Hayat Toplam</v>
          </cell>
        </row>
        <row r="28">
          <cell r="BF28" t="str">
            <v>H-Hastalık Sağlık</v>
          </cell>
        </row>
        <row r="29">
          <cell r="BF29" t="str">
            <v>Hayat Grubu Toplam</v>
          </cell>
        </row>
      </sheetData>
      <sheetData sheetId="109">
        <row r="2">
          <cell r="HL2" t="str">
            <v>Kaza</v>
          </cell>
        </row>
        <row r="3">
          <cell r="HL3" t="str">
            <v>Hastalık-Sağlık</v>
          </cell>
        </row>
        <row r="4">
          <cell r="HL4" t="str">
            <v>Kara Araçları</v>
          </cell>
        </row>
        <row r="5">
          <cell r="HL5" t="str">
            <v>Kasko</v>
          </cell>
        </row>
        <row r="6">
          <cell r="HL6" t="str">
            <v>Raylı Araçlar</v>
          </cell>
        </row>
        <row r="7">
          <cell r="HL7" t="str">
            <v>Hava Araçları</v>
          </cell>
        </row>
        <row r="8">
          <cell r="HL8" t="str">
            <v>Su Araçları</v>
          </cell>
        </row>
        <row r="9">
          <cell r="HL9" t="str">
            <v>Nakliyat</v>
          </cell>
        </row>
        <row r="10">
          <cell r="HL10" t="str">
            <v>Yangın ve Doğal Afetler</v>
          </cell>
        </row>
        <row r="11">
          <cell r="HL11" t="str">
            <v>Genel Zararlar</v>
          </cell>
        </row>
        <row r="12">
          <cell r="HL12" t="str">
            <v>Kara Araçları Sorumluluk</v>
          </cell>
        </row>
        <row r="13">
          <cell r="HL13" t="str">
            <v>Trafik</v>
          </cell>
        </row>
        <row r="14">
          <cell r="HL14" t="str">
            <v>Hava Araçları Sorumluluk</v>
          </cell>
        </row>
        <row r="15">
          <cell r="HL15" t="str">
            <v>Su Araçları Sorumluluk</v>
          </cell>
        </row>
        <row r="16">
          <cell r="HL16" t="str">
            <v>Genel Sorumluluk</v>
          </cell>
        </row>
        <row r="17">
          <cell r="HL17" t="str">
            <v>Kredi</v>
          </cell>
        </row>
        <row r="18">
          <cell r="HL18" t="str">
            <v>Kefalet</v>
          </cell>
        </row>
        <row r="19">
          <cell r="HL19" t="str">
            <v>Finansal Kayıplar</v>
          </cell>
        </row>
        <row r="20">
          <cell r="HL20" t="str">
            <v>Hukuksal Koruma</v>
          </cell>
        </row>
        <row r="21">
          <cell r="HL21" t="str">
            <v>Destek</v>
          </cell>
        </row>
        <row r="22">
          <cell r="HL22" t="str">
            <v>Mühendislik Sigortaları</v>
          </cell>
        </row>
      </sheetData>
      <sheetData sheetId="110">
        <row r="1">
          <cell r="GC1" t="str">
            <v>Hayat</v>
          </cell>
        </row>
        <row r="2">
          <cell r="GC2" t="str">
            <v>Hayat Toplam</v>
          </cell>
        </row>
        <row r="3">
          <cell r="GC3" t="str">
            <v>H-Hastalık Sağlık</v>
          </cell>
        </row>
        <row r="4">
          <cell r="GC4" t="str">
            <v>Hayat Grubu Toplam</v>
          </cell>
        </row>
      </sheetData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3">
          <cell r="BC3" t="str">
            <v>Chubb European Group SE Merkezi Fransa Türkiye İstanbul Şubesi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>
        <row r="1">
          <cell r="DH1" t="str">
            <v>Hayatdışı</v>
          </cell>
        </row>
        <row r="2">
          <cell r="DH2" t="str">
            <v>Hayat</v>
          </cell>
        </row>
        <row r="3">
          <cell r="DH3" t="str">
            <v>Yangın</v>
          </cell>
        </row>
        <row r="4">
          <cell r="DH4" t="str">
            <v>Kar Kaybı</v>
          </cell>
        </row>
        <row r="5">
          <cell r="DH5" t="str">
            <v>Zorunlu Deprem</v>
          </cell>
        </row>
        <row r="6">
          <cell r="DH6" t="str">
            <v>Maden Çalışanları Zorunlu Ferdi Kaza</v>
          </cell>
        </row>
        <row r="7">
          <cell r="DH7" t="str">
            <v>Doğrudan Kefalet</v>
          </cell>
        </row>
        <row r="8">
          <cell r="DH8" t="str">
            <v>Dolaylı Kefalet</v>
          </cell>
        </row>
        <row r="9">
          <cell r="DH9" t="str">
            <v>Devlet Destekli Ticari Alacak</v>
          </cell>
        </row>
        <row r="10">
          <cell r="DH10" t="str">
            <v>Bina Tamamlama</v>
          </cell>
        </row>
        <row r="11">
          <cell r="DH11" t="str">
            <v>Emtea</v>
          </cell>
        </row>
        <row r="12">
          <cell r="DH12" t="str">
            <v>Kıymet</v>
          </cell>
        </row>
        <row r="13">
          <cell r="DH13" t="str">
            <v>Tekne</v>
          </cell>
        </row>
        <row r="14">
          <cell r="DH14" t="str">
            <v>Raylı Araçlar</v>
          </cell>
        </row>
        <row r="15">
          <cell r="DH15" t="str">
            <v>Zorunlu Karayolu Tasımacılık Mali Sorumluluk</v>
          </cell>
        </row>
        <row r="16">
          <cell r="DH16" t="str">
            <v>KTK ZMSS (Trafik) (Yeşil Kart Dahil)</v>
          </cell>
        </row>
        <row r="17">
          <cell r="DH17" t="str">
            <v>İhtiyari Mali Sorumluluk</v>
          </cell>
        </row>
        <row r="18">
          <cell r="DH18" t="str">
            <v>Kasko</v>
          </cell>
        </row>
        <row r="19">
          <cell r="DH19" t="str">
            <v>Karayolu Yolcu Taşımacılığı Zorunlu Koltuk Ferdi Kaza</v>
          </cell>
        </row>
        <row r="20">
          <cell r="DH20" t="str">
            <v>İşveren Mali Sorumluluk</v>
          </cell>
        </row>
        <row r="21">
          <cell r="DH21" t="str">
            <v>Üçüncü Şahıslara Karşı MS</v>
          </cell>
        </row>
        <row r="22">
          <cell r="DH22" t="str">
            <v>Çevre Kirliliği Mali Sorumluluk</v>
          </cell>
        </row>
        <row r="23">
          <cell r="DH23" t="str">
            <v>Cam Kırılması</v>
          </cell>
        </row>
        <row r="24">
          <cell r="DH24" t="str">
            <v>Hırsızlık</v>
          </cell>
        </row>
        <row r="25">
          <cell r="DH25" t="str">
            <v>Tüpgaz Zorunlu Sorumluluk</v>
          </cell>
        </row>
        <row r="26">
          <cell r="DH26" t="str">
            <v>Tehlike Maddeler Zorunlu Sorumluluk</v>
          </cell>
        </row>
        <row r="27">
          <cell r="DH27" t="str">
            <v>Uçak Tekne</v>
          </cell>
        </row>
        <row r="28">
          <cell r="DH28" t="str">
            <v>Uçak Mali Mesuliyet</v>
          </cell>
        </row>
        <row r="29">
          <cell r="DH29" t="str">
            <v>Uçak Yolcu Kaza</v>
          </cell>
        </row>
        <row r="30">
          <cell r="DH30" t="str">
            <v>Tıbbı Kötü Uygulamaya İlişkin ZMSS</v>
          </cell>
        </row>
        <row r="31">
          <cell r="DH31" t="str">
            <v>Özel Güvenlik MSs</v>
          </cell>
        </row>
        <row r="32">
          <cell r="DH32" t="str">
            <v>Zorunlu Sertifika MS</v>
          </cell>
        </row>
        <row r="33">
          <cell r="DH33" t="str">
            <v>Mesleki Sorumluluk</v>
          </cell>
        </row>
        <row r="34">
          <cell r="DH34" t="str">
            <v>Kıyı Tesisleri Deniz Kirliliği Zorunlu MS</v>
          </cell>
        </row>
        <row r="35">
          <cell r="DH35" t="str">
            <v>Tekne Sorumluluk</v>
          </cell>
        </row>
        <row r="36">
          <cell r="DH36" t="str">
            <v>Emniyeti Suistimal</v>
          </cell>
        </row>
        <row r="37">
          <cell r="DH37" t="str">
            <v>Motorlu Kara Taşıtları Dışındaki Kara Taşıtları</v>
          </cell>
        </row>
        <row r="38">
          <cell r="DH38" t="str">
            <v>Nehir Araçları</v>
          </cell>
        </row>
        <row r="39">
          <cell r="DH39" t="str">
            <v>Göl Araçları</v>
          </cell>
        </row>
        <row r="40">
          <cell r="DH40" t="str">
            <v>İhtiyari Deprem</v>
          </cell>
        </row>
        <row r="41">
          <cell r="DH41" t="str">
            <v>Deprem Ve Sel Dışındaki Doğal Afetler</v>
          </cell>
        </row>
        <row r="42">
          <cell r="DH42" t="str">
            <v>Nükleer Enerji</v>
          </cell>
        </row>
        <row r="43">
          <cell r="DH43" t="str">
            <v>Toprak Kayması</v>
          </cell>
        </row>
        <row r="44">
          <cell r="DH44" t="str">
            <v>Tasitli Kredi</v>
          </cell>
        </row>
        <row r="45">
          <cell r="DH45" t="str">
            <v>Uzun Vadeli Konut Kredisi</v>
          </cell>
        </row>
        <row r="46">
          <cell r="DH46" t="str">
            <v>Tarım Kredisi</v>
          </cell>
        </row>
        <row r="47">
          <cell r="DH47" t="str">
            <v>İstihdam</v>
          </cell>
        </row>
        <row r="48">
          <cell r="DH48" t="str">
            <v>Gelir Yetersizliği</v>
          </cell>
        </row>
        <row r="49">
          <cell r="DH49" t="str">
            <v>Ferdi Kaza</v>
          </cell>
        </row>
        <row r="50">
          <cell r="DH50" t="str">
            <v>Uzun Süreli Ferdi Kaza</v>
          </cell>
        </row>
        <row r="51">
          <cell r="DH51" t="str">
            <v>Hava Şartları</v>
          </cell>
        </row>
        <row r="52">
          <cell r="DH52" t="str">
            <v>Genel Giderler</v>
          </cell>
        </row>
        <row r="53">
          <cell r="DH53" t="str">
            <v>Beklenmeyen Ticari Giderler</v>
          </cell>
        </row>
        <row r="54">
          <cell r="DH54" t="str">
            <v>Kredi</v>
          </cell>
        </row>
        <row r="55">
          <cell r="DH55" t="str">
            <v>İhracat Kredi</v>
          </cell>
        </row>
        <row r="56">
          <cell r="DH56" t="str">
            <v>Piyasa Değerindeki Kayıp</v>
          </cell>
        </row>
        <row r="57">
          <cell r="DH57" t="str">
            <v>Kira Ve Gelir Kaybı</v>
          </cell>
        </row>
        <row r="58">
          <cell r="DH58" t="str">
            <v>Diğer Finansal Kayıplar</v>
          </cell>
        </row>
        <row r="59">
          <cell r="DH59" t="str">
            <v>Hukuksal Koruma</v>
          </cell>
        </row>
        <row r="60">
          <cell r="DH60" t="str">
            <v>Patlama</v>
          </cell>
        </row>
        <row r="61">
          <cell r="DH61" t="str">
            <v>Makine Kırılması</v>
          </cell>
        </row>
        <row r="62">
          <cell r="DH62" t="str">
            <v>Montaj</v>
          </cell>
        </row>
        <row r="63">
          <cell r="DH63" t="str">
            <v>İnşaat</v>
          </cell>
        </row>
        <row r="64">
          <cell r="DH64" t="str">
            <v>Elektronik Cihaz</v>
          </cell>
        </row>
        <row r="65">
          <cell r="DH65" t="str">
            <v>Yapı Denetimi Zorunlu MS</v>
          </cell>
        </row>
        <row r="66">
          <cell r="DH66" t="str">
            <v>Deniz Yolu Yolcu Taşımacılığı ZMS</v>
          </cell>
        </row>
        <row r="67">
          <cell r="DH67" t="str">
            <v>Ürün Sorumluluk</v>
          </cell>
        </row>
        <row r="68">
          <cell r="DH68" t="str">
            <v>Su Ürünleri</v>
          </cell>
        </row>
        <row r="69">
          <cell r="DH69" t="str">
            <v>Dolu Sera</v>
          </cell>
        </row>
        <row r="70">
          <cell r="DH70" t="str">
            <v>Devlet Destekli Sera</v>
          </cell>
        </row>
        <row r="71">
          <cell r="DH71" t="str">
            <v>Devlet Destekli Su Ürünleri</v>
          </cell>
        </row>
        <row r="72">
          <cell r="DH72" t="str">
            <v>Devlet Destekli Hayvan Hayat</v>
          </cell>
        </row>
        <row r="73">
          <cell r="DH73" t="str">
            <v>Hayvan Hayat</v>
          </cell>
        </row>
        <row r="74">
          <cell r="DH74" t="str">
            <v>Kümes Hayvan. Hayat</v>
          </cell>
        </row>
        <row r="75">
          <cell r="DH75" t="str">
            <v>Devlet Destekli Kümes Hayvan Hayat</v>
          </cell>
        </row>
        <row r="76">
          <cell r="DH76" t="str">
            <v>Devlet Destekli Küçükbaş Hayvan Hayat</v>
          </cell>
        </row>
        <row r="77">
          <cell r="DH77" t="str">
            <v>Hastalık</v>
          </cell>
        </row>
        <row r="78">
          <cell r="DH78" t="str">
            <v>Sağlık</v>
          </cell>
        </row>
        <row r="79">
          <cell r="DH79" t="str">
            <v>Seyahat Sağlık</v>
          </cell>
        </row>
        <row r="80">
          <cell r="DH80" t="str">
            <v>Seyahat Araç Destek</v>
          </cell>
        </row>
        <row r="81">
          <cell r="DH81" t="str">
            <v>Destek</v>
          </cell>
        </row>
        <row r="82">
          <cell r="DH82" t="str">
            <v>Yeşil Kart</v>
          </cell>
        </row>
        <row r="83">
          <cell r="DH83" t="str">
            <v>Riskli Sigortalılar Havuzu</v>
          </cell>
        </row>
        <row r="84">
          <cell r="DH84" t="str">
            <v>İrat Ödemeli Hayat Sigortaları</v>
          </cell>
        </row>
        <row r="85">
          <cell r="DH85" t="str">
            <v>Diğer Hayat Sigortaları</v>
          </cell>
        </row>
        <row r="86">
          <cell r="DH86" t="str">
            <v>Evlilik/Doğum Sigortası</v>
          </cell>
        </row>
        <row r="87">
          <cell r="DH87" t="str">
            <v>Yatırım Fonlu Sigortalar</v>
          </cell>
        </row>
        <row r="88">
          <cell r="DH88" t="str">
            <v>Sermaye İtfa Sigortası</v>
          </cell>
        </row>
        <row r="89">
          <cell r="DH89" t="str">
            <v>Fon Yönetim İşlemi Sigortası</v>
          </cell>
        </row>
        <row r="90">
          <cell r="DH90" t="str">
            <v>Hastalık</v>
          </cell>
        </row>
        <row r="91">
          <cell r="DH91" t="str">
            <v>Sağlık (Hayat)</v>
          </cell>
        </row>
        <row r="92">
          <cell r="DH92" t="str">
            <v>Tontin</v>
          </cell>
        </row>
      </sheetData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Menu 1"/>
      <sheetName val="Menu 2"/>
      <sheetName val="Menu 3"/>
      <sheetName val="Print Menu"/>
      <sheetName val="PR001"/>
      <sheetName val="PR002"/>
      <sheetName val="PR003"/>
      <sheetName val="PR004"/>
      <sheetName val="PR005"/>
      <sheetName val="PR006"/>
      <sheetName val="PR007"/>
      <sheetName val="PR008"/>
      <sheetName val="PR009"/>
      <sheetName val="PR010"/>
      <sheetName val="PR011"/>
      <sheetName val="PR012"/>
      <sheetName val="PR013"/>
      <sheetName val="PR014"/>
      <sheetName val="PR015"/>
      <sheetName val="PR016"/>
      <sheetName val="PR017"/>
      <sheetName val="PR018"/>
      <sheetName val="PR019"/>
      <sheetName val="PR020"/>
      <sheetName val="PR021"/>
      <sheetName val="PR022"/>
      <sheetName val="PR023"/>
      <sheetName val="PR024"/>
      <sheetName val="PR025"/>
      <sheetName val="PR026"/>
      <sheetName val="PR027"/>
      <sheetName val="PR028"/>
      <sheetName val="PR029"/>
      <sheetName val="PR030"/>
      <sheetName val="PR031"/>
      <sheetName val="PR032"/>
      <sheetName val="PR033"/>
      <sheetName val="PR100"/>
      <sheetName val="PR101"/>
      <sheetName val="PR102"/>
      <sheetName val="PR103"/>
      <sheetName val="PR104"/>
      <sheetName val="PR105"/>
      <sheetName val="PR106"/>
      <sheetName val="PR107"/>
      <sheetName val="PR108"/>
      <sheetName val="PR109"/>
      <sheetName val="PR110"/>
      <sheetName val="PR111"/>
      <sheetName val="PR112"/>
      <sheetName val="PR113"/>
      <sheetName val="PR114"/>
      <sheetName val="PR115"/>
      <sheetName val="PR116"/>
      <sheetName val="PR117"/>
      <sheetName val="PR118"/>
      <sheetName val="PR119"/>
      <sheetName val="PR120"/>
      <sheetName val="PR121"/>
      <sheetName val="PR200"/>
      <sheetName val="PR201"/>
      <sheetName val="PR202"/>
      <sheetName val="PR203"/>
      <sheetName val="PR204"/>
      <sheetName val="PR205"/>
      <sheetName val="PR206"/>
      <sheetName val="PR207"/>
      <sheetName val="PR208"/>
      <sheetName val="PR209"/>
      <sheetName val="PR210"/>
      <sheetName val="PR211"/>
      <sheetName val="PR212"/>
      <sheetName val="PR213"/>
      <sheetName val="PR214"/>
      <sheetName val="PR215"/>
      <sheetName val="PR216"/>
      <sheetName val="PR217"/>
      <sheetName val="PR218"/>
      <sheetName val="PR219"/>
      <sheetName val="PR220"/>
      <sheetName val="PR221"/>
      <sheetName val="PR301"/>
      <sheetName val="PR302"/>
      <sheetName val="PR303"/>
      <sheetName val="PR304"/>
      <sheetName val="PR305"/>
      <sheetName val="PR700"/>
      <sheetName val="PR701"/>
      <sheetName val="PROTH"/>
      <sheetName val="PRCPT"/>
      <sheetName val="CROSS-CHECK"/>
      <sheetName val="AFFILCALC"/>
      <sheetName val="prt_res"/>
      <sheetName val="color"/>
      <sheetName val="Macro1"/>
      <sheetName val="Parameters"/>
      <sheetName val="Branş Kırılımlı Analiz"/>
      <sheetName val="Branş Kırılımlı Analiz (2)"/>
      <sheetName val="Hayat Branşlar (2)"/>
      <sheetName val="Hayat Branşlar"/>
      <sheetName val="Hayatdışı Branşlar (2)"/>
      <sheetName val="Hayatdışı Branşlar"/>
      <sheetName val="Genel(4)"/>
      <sheetName val="Gelir Tablos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B982-2942-46C5-B6F3-B6AF78246D14}">
  <sheetPr>
    <tabColor theme="2" tint="-0.499984740745262"/>
  </sheetPr>
  <dimension ref="A1:BL142"/>
  <sheetViews>
    <sheetView showGridLines="0" tabSelected="1" zoomScale="80" zoomScaleNormal="80" workbookViewId="0">
      <selection activeCell="E3" sqref="E3:F3"/>
    </sheetView>
  </sheetViews>
  <sheetFormatPr defaultRowHeight="12.75"/>
  <cols>
    <col min="1" max="1" width="3.5703125" style="32" customWidth="1"/>
    <col min="2" max="2" width="77" style="4" customWidth="1"/>
    <col min="3" max="3" width="17.42578125" style="4" bestFit="1" customWidth="1"/>
    <col min="4" max="4" width="4" style="4" customWidth="1"/>
    <col min="5" max="5" width="77" style="4" customWidth="1"/>
    <col min="6" max="6" width="17.42578125" style="4" bestFit="1" customWidth="1"/>
    <col min="7" max="7" width="9.140625" style="4" customWidth="1"/>
    <col min="8" max="8" width="9.140625" style="5"/>
    <col min="9" max="9" width="13.5703125" style="5" bestFit="1" customWidth="1"/>
    <col min="10" max="54" width="9.140625" style="5"/>
    <col min="55" max="55" width="29.85546875" style="56" customWidth="1"/>
    <col min="56" max="58" width="9.140625" style="56"/>
    <col min="59" max="59" width="54.140625" style="56" bestFit="1" customWidth="1"/>
    <col min="60" max="64" width="9.140625" style="56"/>
    <col min="65" max="255" width="9.140625" style="5"/>
    <col min="256" max="256" width="3.5703125" style="5" customWidth="1"/>
    <col min="257" max="257" width="9.5703125" style="5" bestFit="1" customWidth="1"/>
    <col min="258" max="258" width="57.140625" style="5" customWidth="1"/>
    <col min="259" max="259" width="16" style="5" customWidth="1"/>
    <col min="260" max="264" width="9.140625" style="5"/>
    <col min="265" max="265" width="13.5703125" style="5" bestFit="1" customWidth="1"/>
    <col min="266" max="511" width="9.140625" style="5"/>
    <col min="512" max="512" width="3.5703125" style="5" customWidth="1"/>
    <col min="513" max="513" width="9.5703125" style="5" bestFit="1" customWidth="1"/>
    <col min="514" max="514" width="57.140625" style="5" customWidth="1"/>
    <col min="515" max="515" width="16" style="5" customWidth="1"/>
    <col min="516" max="520" width="9.140625" style="5"/>
    <col min="521" max="521" width="13.5703125" style="5" bestFit="1" customWidth="1"/>
    <col min="522" max="767" width="9.140625" style="5"/>
    <col min="768" max="768" width="3.5703125" style="5" customWidth="1"/>
    <col min="769" max="769" width="9.5703125" style="5" bestFit="1" customWidth="1"/>
    <col min="770" max="770" width="57.140625" style="5" customWidth="1"/>
    <col min="771" max="771" width="16" style="5" customWidth="1"/>
    <col min="772" max="776" width="9.140625" style="5"/>
    <col min="777" max="777" width="13.5703125" style="5" bestFit="1" customWidth="1"/>
    <col min="778" max="1023" width="9.140625" style="5"/>
    <col min="1024" max="1024" width="3.5703125" style="5" customWidth="1"/>
    <col min="1025" max="1025" width="9.5703125" style="5" bestFit="1" customWidth="1"/>
    <col min="1026" max="1026" width="57.140625" style="5" customWidth="1"/>
    <col min="1027" max="1027" width="16" style="5" customWidth="1"/>
    <col min="1028" max="1032" width="9.140625" style="5"/>
    <col min="1033" max="1033" width="13.5703125" style="5" bestFit="1" customWidth="1"/>
    <col min="1034" max="1279" width="9.140625" style="5"/>
    <col min="1280" max="1280" width="3.5703125" style="5" customWidth="1"/>
    <col min="1281" max="1281" width="9.5703125" style="5" bestFit="1" customWidth="1"/>
    <col min="1282" max="1282" width="57.140625" style="5" customWidth="1"/>
    <col min="1283" max="1283" width="16" style="5" customWidth="1"/>
    <col min="1284" max="1288" width="9.140625" style="5"/>
    <col min="1289" max="1289" width="13.5703125" style="5" bestFit="1" customWidth="1"/>
    <col min="1290" max="1535" width="9.140625" style="5"/>
    <col min="1536" max="1536" width="3.5703125" style="5" customWidth="1"/>
    <col min="1537" max="1537" width="9.5703125" style="5" bestFit="1" customWidth="1"/>
    <col min="1538" max="1538" width="57.140625" style="5" customWidth="1"/>
    <col min="1539" max="1539" width="16" style="5" customWidth="1"/>
    <col min="1540" max="1544" width="9.140625" style="5"/>
    <col min="1545" max="1545" width="13.5703125" style="5" bestFit="1" customWidth="1"/>
    <col min="1546" max="1791" width="9.140625" style="5"/>
    <col min="1792" max="1792" width="3.5703125" style="5" customWidth="1"/>
    <col min="1793" max="1793" width="9.5703125" style="5" bestFit="1" customWidth="1"/>
    <col min="1794" max="1794" width="57.140625" style="5" customWidth="1"/>
    <col min="1795" max="1795" width="16" style="5" customWidth="1"/>
    <col min="1796" max="1800" width="9.140625" style="5"/>
    <col min="1801" max="1801" width="13.5703125" style="5" bestFit="1" customWidth="1"/>
    <col min="1802" max="2047" width="9.140625" style="5"/>
    <col min="2048" max="2048" width="3.5703125" style="5" customWidth="1"/>
    <col min="2049" max="2049" width="9.5703125" style="5" bestFit="1" customWidth="1"/>
    <col min="2050" max="2050" width="57.140625" style="5" customWidth="1"/>
    <col min="2051" max="2051" width="16" style="5" customWidth="1"/>
    <col min="2052" max="2056" width="9.140625" style="5"/>
    <col min="2057" max="2057" width="13.5703125" style="5" bestFit="1" customWidth="1"/>
    <col min="2058" max="2303" width="9.140625" style="5"/>
    <col min="2304" max="2304" width="3.5703125" style="5" customWidth="1"/>
    <col min="2305" max="2305" width="9.5703125" style="5" bestFit="1" customWidth="1"/>
    <col min="2306" max="2306" width="57.140625" style="5" customWidth="1"/>
    <col min="2307" max="2307" width="16" style="5" customWidth="1"/>
    <col min="2308" max="2312" width="9.140625" style="5"/>
    <col min="2313" max="2313" width="13.5703125" style="5" bestFit="1" customWidth="1"/>
    <col min="2314" max="2559" width="9.140625" style="5"/>
    <col min="2560" max="2560" width="3.5703125" style="5" customWidth="1"/>
    <col min="2561" max="2561" width="9.5703125" style="5" bestFit="1" customWidth="1"/>
    <col min="2562" max="2562" width="57.140625" style="5" customWidth="1"/>
    <col min="2563" max="2563" width="16" style="5" customWidth="1"/>
    <col min="2564" max="2568" width="9.140625" style="5"/>
    <col min="2569" max="2569" width="13.5703125" style="5" bestFit="1" customWidth="1"/>
    <col min="2570" max="2815" width="9.140625" style="5"/>
    <col min="2816" max="2816" width="3.5703125" style="5" customWidth="1"/>
    <col min="2817" max="2817" width="9.5703125" style="5" bestFit="1" customWidth="1"/>
    <col min="2818" max="2818" width="57.140625" style="5" customWidth="1"/>
    <col min="2819" max="2819" width="16" style="5" customWidth="1"/>
    <col min="2820" max="2824" width="9.140625" style="5"/>
    <col min="2825" max="2825" width="13.5703125" style="5" bestFit="1" customWidth="1"/>
    <col min="2826" max="3071" width="9.140625" style="5"/>
    <col min="3072" max="3072" width="3.5703125" style="5" customWidth="1"/>
    <col min="3073" max="3073" width="9.5703125" style="5" bestFit="1" customWidth="1"/>
    <col min="3074" max="3074" width="57.140625" style="5" customWidth="1"/>
    <col min="3075" max="3075" width="16" style="5" customWidth="1"/>
    <col min="3076" max="3080" width="9.140625" style="5"/>
    <col min="3081" max="3081" width="13.5703125" style="5" bestFit="1" customWidth="1"/>
    <col min="3082" max="3327" width="9.140625" style="5"/>
    <col min="3328" max="3328" width="3.5703125" style="5" customWidth="1"/>
    <col min="3329" max="3329" width="9.5703125" style="5" bestFit="1" customWidth="1"/>
    <col min="3330" max="3330" width="57.140625" style="5" customWidth="1"/>
    <col min="3331" max="3331" width="16" style="5" customWidth="1"/>
    <col min="3332" max="3336" width="9.140625" style="5"/>
    <col min="3337" max="3337" width="13.5703125" style="5" bestFit="1" customWidth="1"/>
    <col min="3338" max="3583" width="9.140625" style="5"/>
    <col min="3584" max="3584" width="3.5703125" style="5" customWidth="1"/>
    <col min="3585" max="3585" width="9.5703125" style="5" bestFit="1" customWidth="1"/>
    <col min="3586" max="3586" width="57.140625" style="5" customWidth="1"/>
    <col min="3587" max="3587" width="16" style="5" customWidth="1"/>
    <col min="3588" max="3592" width="9.140625" style="5"/>
    <col min="3593" max="3593" width="13.5703125" style="5" bestFit="1" customWidth="1"/>
    <col min="3594" max="3839" width="9.140625" style="5"/>
    <col min="3840" max="3840" width="3.5703125" style="5" customWidth="1"/>
    <col min="3841" max="3841" width="9.5703125" style="5" bestFit="1" customWidth="1"/>
    <col min="3842" max="3842" width="57.140625" style="5" customWidth="1"/>
    <col min="3843" max="3843" width="16" style="5" customWidth="1"/>
    <col min="3844" max="3848" width="9.140625" style="5"/>
    <col min="3849" max="3849" width="13.5703125" style="5" bestFit="1" customWidth="1"/>
    <col min="3850" max="4095" width="9.140625" style="5"/>
    <col min="4096" max="4096" width="3.5703125" style="5" customWidth="1"/>
    <col min="4097" max="4097" width="9.5703125" style="5" bestFit="1" customWidth="1"/>
    <col min="4098" max="4098" width="57.140625" style="5" customWidth="1"/>
    <col min="4099" max="4099" width="16" style="5" customWidth="1"/>
    <col min="4100" max="4104" width="9.140625" style="5"/>
    <col min="4105" max="4105" width="13.5703125" style="5" bestFit="1" customWidth="1"/>
    <col min="4106" max="4351" width="9.140625" style="5"/>
    <col min="4352" max="4352" width="3.5703125" style="5" customWidth="1"/>
    <col min="4353" max="4353" width="9.5703125" style="5" bestFit="1" customWidth="1"/>
    <col min="4354" max="4354" width="57.140625" style="5" customWidth="1"/>
    <col min="4355" max="4355" width="16" style="5" customWidth="1"/>
    <col min="4356" max="4360" width="9.140625" style="5"/>
    <col min="4361" max="4361" width="13.5703125" style="5" bestFit="1" customWidth="1"/>
    <col min="4362" max="4607" width="9.140625" style="5"/>
    <col min="4608" max="4608" width="3.5703125" style="5" customWidth="1"/>
    <col min="4609" max="4609" width="9.5703125" style="5" bestFit="1" customWidth="1"/>
    <col min="4610" max="4610" width="57.140625" style="5" customWidth="1"/>
    <col min="4611" max="4611" width="16" style="5" customWidth="1"/>
    <col min="4612" max="4616" width="9.140625" style="5"/>
    <col min="4617" max="4617" width="13.5703125" style="5" bestFit="1" customWidth="1"/>
    <col min="4618" max="4863" width="9.140625" style="5"/>
    <col min="4864" max="4864" width="3.5703125" style="5" customWidth="1"/>
    <col min="4865" max="4865" width="9.5703125" style="5" bestFit="1" customWidth="1"/>
    <col min="4866" max="4866" width="57.140625" style="5" customWidth="1"/>
    <col min="4867" max="4867" width="16" style="5" customWidth="1"/>
    <col min="4868" max="4872" width="9.140625" style="5"/>
    <col min="4873" max="4873" width="13.5703125" style="5" bestFit="1" customWidth="1"/>
    <col min="4874" max="5119" width="9.140625" style="5"/>
    <col min="5120" max="5120" width="3.5703125" style="5" customWidth="1"/>
    <col min="5121" max="5121" width="9.5703125" style="5" bestFit="1" customWidth="1"/>
    <col min="5122" max="5122" width="57.140625" style="5" customWidth="1"/>
    <col min="5123" max="5123" width="16" style="5" customWidth="1"/>
    <col min="5124" max="5128" width="9.140625" style="5"/>
    <col min="5129" max="5129" width="13.5703125" style="5" bestFit="1" customWidth="1"/>
    <col min="5130" max="5375" width="9.140625" style="5"/>
    <col min="5376" max="5376" width="3.5703125" style="5" customWidth="1"/>
    <col min="5377" max="5377" width="9.5703125" style="5" bestFit="1" customWidth="1"/>
    <col min="5378" max="5378" width="57.140625" style="5" customWidth="1"/>
    <col min="5379" max="5379" width="16" style="5" customWidth="1"/>
    <col min="5380" max="5384" width="9.140625" style="5"/>
    <col min="5385" max="5385" width="13.5703125" style="5" bestFit="1" customWidth="1"/>
    <col min="5386" max="5631" width="9.140625" style="5"/>
    <col min="5632" max="5632" width="3.5703125" style="5" customWidth="1"/>
    <col min="5633" max="5633" width="9.5703125" style="5" bestFit="1" customWidth="1"/>
    <col min="5634" max="5634" width="57.140625" style="5" customWidth="1"/>
    <col min="5635" max="5635" width="16" style="5" customWidth="1"/>
    <col min="5636" max="5640" width="9.140625" style="5"/>
    <col min="5641" max="5641" width="13.5703125" style="5" bestFit="1" customWidth="1"/>
    <col min="5642" max="5887" width="9.140625" style="5"/>
    <col min="5888" max="5888" width="3.5703125" style="5" customWidth="1"/>
    <col min="5889" max="5889" width="9.5703125" style="5" bestFit="1" customWidth="1"/>
    <col min="5890" max="5890" width="57.140625" style="5" customWidth="1"/>
    <col min="5891" max="5891" width="16" style="5" customWidth="1"/>
    <col min="5892" max="5896" width="9.140625" style="5"/>
    <col min="5897" max="5897" width="13.5703125" style="5" bestFit="1" customWidth="1"/>
    <col min="5898" max="6143" width="9.140625" style="5"/>
    <col min="6144" max="6144" width="3.5703125" style="5" customWidth="1"/>
    <col min="6145" max="6145" width="9.5703125" style="5" bestFit="1" customWidth="1"/>
    <col min="6146" max="6146" width="57.140625" style="5" customWidth="1"/>
    <col min="6147" max="6147" width="16" style="5" customWidth="1"/>
    <col min="6148" max="6152" width="9.140625" style="5"/>
    <col min="6153" max="6153" width="13.5703125" style="5" bestFit="1" customWidth="1"/>
    <col min="6154" max="6399" width="9.140625" style="5"/>
    <col min="6400" max="6400" width="3.5703125" style="5" customWidth="1"/>
    <col min="6401" max="6401" width="9.5703125" style="5" bestFit="1" customWidth="1"/>
    <col min="6402" max="6402" width="57.140625" style="5" customWidth="1"/>
    <col min="6403" max="6403" width="16" style="5" customWidth="1"/>
    <col min="6404" max="6408" width="9.140625" style="5"/>
    <col min="6409" max="6409" width="13.5703125" style="5" bestFit="1" customWidth="1"/>
    <col min="6410" max="6655" width="9.140625" style="5"/>
    <col min="6656" max="6656" width="3.5703125" style="5" customWidth="1"/>
    <col min="6657" max="6657" width="9.5703125" style="5" bestFit="1" customWidth="1"/>
    <col min="6658" max="6658" width="57.140625" style="5" customWidth="1"/>
    <col min="6659" max="6659" width="16" style="5" customWidth="1"/>
    <col min="6660" max="6664" width="9.140625" style="5"/>
    <col min="6665" max="6665" width="13.5703125" style="5" bestFit="1" customWidth="1"/>
    <col min="6666" max="6911" width="9.140625" style="5"/>
    <col min="6912" max="6912" width="3.5703125" style="5" customWidth="1"/>
    <col min="6913" max="6913" width="9.5703125" style="5" bestFit="1" customWidth="1"/>
    <col min="6914" max="6914" width="57.140625" style="5" customWidth="1"/>
    <col min="6915" max="6915" width="16" style="5" customWidth="1"/>
    <col min="6916" max="6920" width="9.140625" style="5"/>
    <col min="6921" max="6921" width="13.5703125" style="5" bestFit="1" customWidth="1"/>
    <col min="6922" max="7167" width="9.140625" style="5"/>
    <col min="7168" max="7168" width="3.5703125" style="5" customWidth="1"/>
    <col min="7169" max="7169" width="9.5703125" style="5" bestFit="1" customWidth="1"/>
    <col min="7170" max="7170" width="57.140625" style="5" customWidth="1"/>
    <col min="7171" max="7171" width="16" style="5" customWidth="1"/>
    <col min="7172" max="7176" width="9.140625" style="5"/>
    <col min="7177" max="7177" width="13.5703125" style="5" bestFit="1" customWidth="1"/>
    <col min="7178" max="7423" width="9.140625" style="5"/>
    <col min="7424" max="7424" width="3.5703125" style="5" customWidth="1"/>
    <col min="7425" max="7425" width="9.5703125" style="5" bestFit="1" customWidth="1"/>
    <col min="7426" max="7426" width="57.140625" style="5" customWidth="1"/>
    <col min="7427" max="7427" width="16" style="5" customWidth="1"/>
    <col min="7428" max="7432" width="9.140625" style="5"/>
    <col min="7433" max="7433" width="13.5703125" style="5" bestFit="1" customWidth="1"/>
    <col min="7434" max="7679" width="9.140625" style="5"/>
    <col min="7680" max="7680" width="3.5703125" style="5" customWidth="1"/>
    <col min="7681" max="7681" width="9.5703125" style="5" bestFit="1" customWidth="1"/>
    <col min="7682" max="7682" width="57.140625" style="5" customWidth="1"/>
    <col min="7683" max="7683" width="16" style="5" customWidth="1"/>
    <col min="7684" max="7688" width="9.140625" style="5"/>
    <col min="7689" max="7689" width="13.5703125" style="5" bestFit="1" customWidth="1"/>
    <col min="7690" max="7935" width="9.140625" style="5"/>
    <col min="7936" max="7936" width="3.5703125" style="5" customWidth="1"/>
    <col min="7937" max="7937" width="9.5703125" style="5" bestFit="1" customWidth="1"/>
    <col min="7938" max="7938" width="57.140625" style="5" customWidth="1"/>
    <col min="7939" max="7939" width="16" style="5" customWidth="1"/>
    <col min="7940" max="7944" width="9.140625" style="5"/>
    <col min="7945" max="7945" width="13.5703125" style="5" bestFit="1" customWidth="1"/>
    <col min="7946" max="8191" width="9.140625" style="5"/>
    <col min="8192" max="8192" width="3.5703125" style="5" customWidth="1"/>
    <col min="8193" max="8193" width="9.5703125" style="5" bestFit="1" customWidth="1"/>
    <col min="8194" max="8194" width="57.140625" style="5" customWidth="1"/>
    <col min="8195" max="8195" width="16" style="5" customWidth="1"/>
    <col min="8196" max="8200" width="9.140625" style="5"/>
    <col min="8201" max="8201" width="13.5703125" style="5" bestFit="1" customWidth="1"/>
    <col min="8202" max="8447" width="9.140625" style="5"/>
    <col min="8448" max="8448" width="3.5703125" style="5" customWidth="1"/>
    <col min="8449" max="8449" width="9.5703125" style="5" bestFit="1" customWidth="1"/>
    <col min="8450" max="8450" width="57.140625" style="5" customWidth="1"/>
    <col min="8451" max="8451" width="16" style="5" customWidth="1"/>
    <col min="8452" max="8456" width="9.140625" style="5"/>
    <col min="8457" max="8457" width="13.5703125" style="5" bestFit="1" customWidth="1"/>
    <col min="8458" max="8703" width="9.140625" style="5"/>
    <col min="8704" max="8704" width="3.5703125" style="5" customWidth="1"/>
    <col min="8705" max="8705" width="9.5703125" style="5" bestFit="1" customWidth="1"/>
    <col min="8706" max="8706" width="57.140625" style="5" customWidth="1"/>
    <col min="8707" max="8707" width="16" style="5" customWidth="1"/>
    <col min="8708" max="8712" width="9.140625" style="5"/>
    <col min="8713" max="8713" width="13.5703125" style="5" bestFit="1" customWidth="1"/>
    <col min="8714" max="8959" width="9.140625" style="5"/>
    <col min="8960" max="8960" width="3.5703125" style="5" customWidth="1"/>
    <col min="8961" max="8961" width="9.5703125" style="5" bestFit="1" customWidth="1"/>
    <col min="8962" max="8962" width="57.140625" style="5" customWidth="1"/>
    <col min="8963" max="8963" width="16" style="5" customWidth="1"/>
    <col min="8964" max="8968" width="9.140625" style="5"/>
    <col min="8969" max="8969" width="13.5703125" style="5" bestFit="1" customWidth="1"/>
    <col min="8970" max="9215" width="9.140625" style="5"/>
    <col min="9216" max="9216" width="3.5703125" style="5" customWidth="1"/>
    <col min="9217" max="9217" width="9.5703125" style="5" bestFit="1" customWidth="1"/>
    <col min="9218" max="9218" width="57.140625" style="5" customWidth="1"/>
    <col min="9219" max="9219" width="16" style="5" customWidth="1"/>
    <col min="9220" max="9224" width="9.140625" style="5"/>
    <col min="9225" max="9225" width="13.5703125" style="5" bestFit="1" customWidth="1"/>
    <col min="9226" max="9471" width="9.140625" style="5"/>
    <col min="9472" max="9472" width="3.5703125" style="5" customWidth="1"/>
    <col min="9473" max="9473" width="9.5703125" style="5" bestFit="1" customWidth="1"/>
    <col min="9474" max="9474" width="57.140625" style="5" customWidth="1"/>
    <col min="9475" max="9475" width="16" style="5" customWidth="1"/>
    <col min="9476" max="9480" width="9.140625" style="5"/>
    <col min="9481" max="9481" width="13.5703125" style="5" bestFit="1" customWidth="1"/>
    <col min="9482" max="9727" width="9.140625" style="5"/>
    <col min="9728" max="9728" width="3.5703125" style="5" customWidth="1"/>
    <col min="9729" max="9729" width="9.5703125" style="5" bestFit="1" customWidth="1"/>
    <col min="9730" max="9730" width="57.140625" style="5" customWidth="1"/>
    <col min="9731" max="9731" width="16" style="5" customWidth="1"/>
    <col min="9732" max="9736" width="9.140625" style="5"/>
    <col min="9737" max="9737" width="13.5703125" style="5" bestFit="1" customWidth="1"/>
    <col min="9738" max="9983" width="9.140625" style="5"/>
    <col min="9984" max="9984" width="3.5703125" style="5" customWidth="1"/>
    <col min="9985" max="9985" width="9.5703125" style="5" bestFit="1" customWidth="1"/>
    <col min="9986" max="9986" width="57.140625" style="5" customWidth="1"/>
    <col min="9987" max="9987" width="16" style="5" customWidth="1"/>
    <col min="9988" max="9992" width="9.140625" style="5"/>
    <col min="9993" max="9993" width="13.5703125" style="5" bestFit="1" customWidth="1"/>
    <col min="9994" max="10239" width="9.140625" style="5"/>
    <col min="10240" max="10240" width="3.5703125" style="5" customWidth="1"/>
    <col min="10241" max="10241" width="9.5703125" style="5" bestFit="1" customWidth="1"/>
    <col min="10242" max="10242" width="57.140625" style="5" customWidth="1"/>
    <col min="10243" max="10243" width="16" style="5" customWidth="1"/>
    <col min="10244" max="10248" width="9.140625" style="5"/>
    <col min="10249" max="10249" width="13.5703125" style="5" bestFit="1" customWidth="1"/>
    <col min="10250" max="10495" width="9.140625" style="5"/>
    <col min="10496" max="10496" width="3.5703125" style="5" customWidth="1"/>
    <col min="10497" max="10497" width="9.5703125" style="5" bestFit="1" customWidth="1"/>
    <col min="10498" max="10498" width="57.140625" style="5" customWidth="1"/>
    <col min="10499" max="10499" width="16" style="5" customWidth="1"/>
    <col min="10500" max="10504" width="9.140625" style="5"/>
    <col min="10505" max="10505" width="13.5703125" style="5" bestFit="1" customWidth="1"/>
    <col min="10506" max="10751" width="9.140625" style="5"/>
    <col min="10752" max="10752" width="3.5703125" style="5" customWidth="1"/>
    <col min="10753" max="10753" width="9.5703125" style="5" bestFit="1" customWidth="1"/>
    <col min="10754" max="10754" width="57.140625" style="5" customWidth="1"/>
    <col min="10755" max="10755" width="16" style="5" customWidth="1"/>
    <col min="10756" max="10760" width="9.140625" style="5"/>
    <col min="10761" max="10761" width="13.5703125" style="5" bestFit="1" customWidth="1"/>
    <col min="10762" max="11007" width="9.140625" style="5"/>
    <col min="11008" max="11008" width="3.5703125" style="5" customWidth="1"/>
    <col min="11009" max="11009" width="9.5703125" style="5" bestFit="1" customWidth="1"/>
    <col min="11010" max="11010" width="57.140625" style="5" customWidth="1"/>
    <col min="11011" max="11011" width="16" style="5" customWidth="1"/>
    <col min="11012" max="11016" width="9.140625" style="5"/>
    <col min="11017" max="11017" width="13.5703125" style="5" bestFit="1" customWidth="1"/>
    <col min="11018" max="11263" width="9.140625" style="5"/>
    <col min="11264" max="11264" width="3.5703125" style="5" customWidth="1"/>
    <col min="11265" max="11265" width="9.5703125" style="5" bestFit="1" customWidth="1"/>
    <col min="11266" max="11266" width="57.140625" style="5" customWidth="1"/>
    <col min="11267" max="11267" width="16" style="5" customWidth="1"/>
    <col min="11268" max="11272" width="9.140625" style="5"/>
    <col min="11273" max="11273" width="13.5703125" style="5" bestFit="1" customWidth="1"/>
    <col min="11274" max="11519" width="9.140625" style="5"/>
    <col min="11520" max="11520" width="3.5703125" style="5" customWidth="1"/>
    <col min="11521" max="11521" width="9.5703125" style="5" bestFit="1" customWidth="1"/>
    <col min="11522" max="11522" width="57.140625" style="5" customWidth="1"/>
    <col min="11523" max="11523" width="16" style="5" customWidth="1"/>
    <col min="11524" max="11528" width="9.140625" style="5"/>
    <col min="11529" max="11529" width="13.5703125" style="5" bestFit="1" customWidth="1"/>
    <col min="11530" max="11775" width="9.140625" style="5"/>
    <col min="11776" max="11776" width="3.5703125" style="5" customWidth="1"/>
    <col min="11777" max="11777" width="9.5703125" style="5" bestFit="1" customWidth="1"/>
    <col min="11778" max="11778" width="57.140625" style="5" customWidth="1"/>
    <col min="11779" max="11779" width="16" style="5" customWidth="1"/>
    <col min="11780" max="11784" width="9.140625" style="5"/>
    <col min="11785" max="11785" width="13.5703125" style="5" bestFit="1" customWidth="1"/>
    <col min="11786" max="12031" width="9.140625" style="5"/>
    <col min="12032" max="12032" width="3.5703125" style="5" customWidth="1"/>
    <col min="12033" max="12033" width="9.5703125" style="5" bestFit="1" customWidth="1"/>
    <col min="12034" max="12034" width="57.140625" style="5" customWidth="1"/>
    <col min="12035" max="12035" width="16" style="5" customWidth="1"/>
    <col min="12036" max="12040" width="9.140625" style="5"/>
    <col min="12041" max="12041" width="13.5703125" style="5" bestFit="1" customWidth="1"/>
    <col min="12042" max="12287" width="9.140625" style="5"/>
    <col min="12288" max="12288" width="3.5703125" style="5" customWidth="1"/>
    <col min="12289" max="12289" width="9.5703125" style="5" bestFit="1" customWidth="1"/>
    <col min="12290" max="12290" width="57.140625" style="5" customWidth="1"/>
    <col min="12291" max="12291" width="16" style="5" customWidth="1"/>
    <col min="12292" max="12296" width="9.140625" style="5"/>
    <col min="12297" max="12297" width="13.5703125" style="5" bestFit="1" customWidth="1"/>
    <col min="12298" max="12543" width="9.140625" style="5"/>
    <col min="12544" max="12544" width="3.5703125" style="5" customWidth="1"/>
    <col min="12545" max="12545" width="9.5703125" style="5" bestFit="1" customWidth="1"/>
    <col min="12546" max="12546" width="57.140625" style="5" customWidth="1"/>
    <col min="12547" max="12547" width="16" style="5" customWidth="1"/>
    <col min="12548" max="12552" width="9.140625" style="5"/>
    <col min="12553" max="12553" width="13.5703125" style="5" bestFit="1" customWidth="1"/>
    <col min="12554" max="12799" width="9.140625" style="5"/>
    <col min="12800" max="12800" width="3.5703125" style="5" customWidth="1"/>
    <col min="12801" max="12801" width="9.5703125" style="5" bestFit="1" customWidth="1"/>
    <col min="12802" max="12802" width="57.140625" style="5" customWidth="1"/>
    <col min="12803" max="12803" width="16" style="5" customWidth="1"/>
    <col min="12804" max="12808" width="9.140625" style="5"/>
    <col min="12809" max="12809" width="13.5703125" style="5" bestFit="1" customWidth="1"/>
    <col min="12810" max="13055" width="9.140625" style="5"/>
    <col min="13056" max="13056" width="3.5703125" style="5" customWidth="1"/>
    <col min="13057" max="13057" width="9.5703125" style="5" bestFit="1" customWidth="1"/>
    <col min="13058" max="13058" width="57.140625" style="5" customWidth="1"/>
    <col min="13059" max="13059" width="16" style="5" customWidth="1"/>
    <col min="13060" max="13064" width="9.140625" style="5"/>
    <col min="13065" max="13065" width="13.5703125" style="5" bestFit="1" customWidth="1"/>
    <col min="13066" max="13311" width="9.140625" style="5"/>
    <col min="13312" max="13312" width="3.5703125" style="5" customWidth="1"/>
    <col min="13313" max="13313" width="9.5703125" style="5" bestFit="1" customWidth="1"/>
    <col min="13314" max="13314" width="57.140625" style="5" customWidth="1"/>
    <col min="13315" max="13315" width="16" style="5" customWidth="1"/>
    <col min="13316" max="13320" width="9.140625" style="5"/>
    <col min="13321" max="13321" width="13.5703125" style="5" bestFit="1" customWidth="1"/>
    <col min="13322" max="13567" width="9.140625" style="5"/>
    <col min="13568" max="13568" width="3.5703125" style="5" customWidth="1"/>
    <col min="13569" max="13569" width="9.5703125" style="5" bestFit="1" customWidth="1"/>
    <col min="13570" max="13570" width="57.140625" style="5" customWidth="1"/>
    <col min="13571" max="13571" width="16" style="5" customWidth="1"/>
    <col min="13572" max="13576" width="9.140625" style="5"/>
    <col min="13577" max="13577" width="13.5703125" style="5" bestFit="1" customWidth="1"/>
    <col min="13578" max="13823" width="9.140625" style="5"/>
    <col min="13824" max="13824" width="3.5703125" style="5" customWidth="1"/>
    <col min="13825" max="13825" width="9.5703125" style="5" bestFit="1" customWidth="1"/>
    <col min="13826" max="13826" width="57.140625" style="5" customWidth="1"/>
    <col min="13827" max="13827" width="16" style="5" customWidth="1"/>
    <col min="13828" max="13832" width="9.140625" style="5"/>
    <col min="13833" max="13833" width="13.5703125" style="5" bestFit="1" customWidth="1"/>
    <col min="13834" max="14079" width="9.140625" style="5"/>
    <col min="14080" max="14080" width="3.5703125" style="5" customWidth="1"/>
    <col min="14081" max="14081" width="9.5703125" style="5" bestFit="1" customWidth="1"/>
    <col min="14082" max="14082" width="57.140625" style="5" customWidth="1"/>
    <col min="14083" max="14083" width="16" style="5" customWidth="1"/>
    <col min="14084" max="14088" width="9.140625" style="5"/>
    <col min="14089" max="14089" width="13.5703125" style="5" bestFit="1" customWidth="1"/>
    <col min="14090" max="14335" width="9.140625" style="5"/>
    <col min="14336" max="14336" width="3.5703125" style="5" customWidth="1"/>
    <col min="14337" max="14337" width="9.5703125" style="5" bestFit="1" customWidth="1"/>
    <col min="14338" max="14338" width="57.140625" style="5" customWidth="1"/>
    <col min="14339" max="14339" width="16" style="5" customWidth="1"/>
    <col min="14340" max="14344" width="9.140625" style="5"/>
    <col min="14345" max="14345" width="13.5703125" style="5" bestFit="1" customWidth="1"/>
    <col min="14346" max="14591" width="9.140625" style="5"/>
    <col min="14592" max="14592" width="3.5703125" style="5" customWidth="1"/>
    <col min="14593" max="14593" width="9.5703125" style="5" bestFit="1" customWidth="1"/>
    <col min="14594" max="14594" width="57.140625" style="5" customWidth="1"/>
    <col min="14595" max="14595" width="16" style="5" customWidth="1"/>
    <col min="14596" max="14600" width="9.140625" style="5"/>
    <col min="14601" max="14601" width="13.5703125" style="5" bestFit="1" customWidth="1"/>
    <col min="14602" max="14847" width="9.140625" style="5"/>
    <col min="14848" max="14848" width="3.5703125" style="5" customWidth="1"/>
    <col min="14849" max="14849" width="9.5703125" style="5" bestFit="1" customWidth="1"/>
    <col min="14850" max="14850" width="57.140625" style="5" customWidth="1"/>
    <col min="14851" max="14851" width="16" style="5" customWidth="1"/>
    <col min="14852" max="14856" width="9.140625" style="5"/>
    <col min="14857" max="14857" width="13.5703125" style="5" bestFit="1" customWidth="1"/>
    <col min="14858" max="15103" width="9.140625" style="5"/>
    <col min="15104" max="15104" width="3.5703125" style="5" customWidth="1"/>
    <col min="15105" max="15105" width="9.5703125" style="5" bestFit="1" customWidth="1"/>
    <col min="15106" max="15106" width="57.140625" style="5" customWidth="1"/>
    <col min="15107" max="15107" width="16" style="5" customWidth="1"/>
    <col min="15108" max="15112" width="9.140625" style="5"/>
    <col min="15113" max="15113" width="13.5703125" style="5" bestFit="1" customWidth="1"/>
    <col min="15114" max="15359" width="9.140625" style="5"/>
    <col min="15360" max="15360" width="3.5703125" style="5" customWidth="1"/>
    <col min="15361" max="15361" width="9.5703125" style="5" bestFit="1" customWidth="1"/>
    <col min="15362" max="15362" width="57.140625" style="5" customWidth="1"/>
    <col min="15363" max="15363" width="16" style="5" customWidth="1"/>
    <col min="15364" max="15368" width="9.140625" style="5"/>
    <col min="15369" max="15369" width="13.5703125" style="5" bestFit="1" customWidth="1"/>
    <col min="15370" max="15615" width="9.140625" style="5"/>
    <col min="15616" max="15616" width="3.5703125" style="5" customWidth="1"/>
    <col min="15617" max="15617" width="9.5703125" style="5" bestFit="1" customWidth="1"/>
    <col min="15618" max="15618" width="57.140625" style="5" customWidth="1"/>
    <col min="15619" max="15619" width="16" style="5" customWidth="1"/>
    <col min="15620" max="15624" width="9.140625" style="5"/>
    <col min="15625" max="15625" width="13.5703125" style="5" bestFit="1" customWidth="1"/>
    <col min="15626" max="15871" width="9.140625" style="5"/>
    <col min="15872" max="15872" width="3.5703125" style="5" customWidth="1"/>
    <col min="15873" max="15873" width="9.5703125" style="5" bestFit="1" customWidth="1"/>
    <col min="15874" max="15874" width="57.140625" style="5" customWidth="1"/>
    <col min="15875" max="15875" width="16" style="5" customWidth="1"/>
    <col min="15876" max="15880" width="9.140625" style="5"/>
    <col min="15881" max="15881" width="13.5703125" style="5" bestFit="1" customWidth="1"/>
    <col min="15882" max="16127" width="9.140625" style="5"/>
    <col min="16128" max="16128" width="3.5703125" style="5" customWidth="1"/>
    <col min="16129" max="16129" width="9.5703125" style="5" bestFit="1" customWidth="1"/>
    <col min="16130" max="16130" width="57.140625" style="5" customWidth="1"/>
    <col min="16131" max="16131" width="16" style="5" customWidth="1"/>
    <col min="16132" max="16136" width="9.140625" style="5"/>
    <col min="16137" max="16137" width="13.5703125" style="5" bestFit="1" customWidth="1"/>
    <col min="16138" max="16384" width="9.140625" style="5"/>
  </cols>
  <sheetData>
    <row r="1" spans="1:56">
      <c r="A1" s="2"/>
      <c r="B1" s="3"/>
      <c r="E1" s="3"/>
    </row>
    <row r="2" spans="1:56">
      <c r="A2" s="6"/>
      <c r="B2" s="7"/>
      <c r="E2" s="7"/>
    </row>
    <row r="3" spans="1:56">
      <c r="A3" s="8"/>
      <c r="B3" s="57" t="str">
        <f>E3</f>
        <v>TOPLAM (HAYAT DIŞI ŞİRKETLER+HAYAT VE EMEKLİLİK ŞİRKETLERİ+REASÜRANS ŞİRKETLERİ)</v>
      </c>
      <c r="C3" s="58"/>
      <c r="E3" s="57" t="s">
        <v>23</v>
      </c>
      <c r="F3" s="58"/>
      <c r="H3" s="57" t="s">
        <v>24</v>
      </c>
      <c r="I3" s="59"/>
      <c r="J3" s="60"/>
      <c r="BC3" s="56" t="s">
        <v>0</v>
      </c>
      <c r="BD3" s="56">
        <v>1001</v>
      </c>
    </row>
    <row r="4" spans="1:56">
      <c r="A4" s="9"/>
      <c r="B4" s="57" t="s">
        <v>25</v>
      </c>
      <c r="C4" s="58"/>
      <c r="E4" s="57" t="s">
        <v>26</v>
      </c>
      <c r="F4" s="58"/>
      <c r="H4" s="10"/>
      <c r="BC4" s="56" t="s">
        <v>27</v>
      </c>
      <c r="BD4" s="56">
        <v>1003</v>
      </c>
    </row>
    <row r="5" spans="1:56" ht="13.5" thickBot="1">
      <c r="A5" s="11"/>
      <c r="B5" s="12"/>
      <c r="C5" s="13"/>
      <c r="E5" s="12"/>
      <c r="F5" s="13"/>
      <c r="H5" s="14"/>
      <c r="I5" s="14"/>
      <c r="J5" s="14"/>
      <c r="BC5" s="56" t="s">
        <v>28</v>
      </c>
      <c r="BD5" s="56">
        <v>1004</v>
      </c>
    </row>
    <row r="6" spans="1:56">
      <c r="A6" s="15"/>
      <c r="B6" s="16" t="s">
        <v>29</v>
      </c>
      <c r="C6" s="17">
        <f ca="1">+C7+C14+C23+C34+C44+C52+C57</f>
        <v>2245293920633.7095</v>
      </c>
      <c r="E6" s="16" t="s">
        <v>30</v>
      </c>
      <c r="F6" s="17">
        <f ca="1">+F7+F16+F23+F30+F35+F42+F50+F54+F58</f>
        <v>1654471217888.3301</v>
      </c>
      <c r="BC6" s="56" t="s">
        <v>31</v>
      </c>
      <c r="BD6" s="56">
        <v>1005</v>
      </c>
    </row>
    <row r="7" spans="1:56">
      <c r="A7" s="15"/>
      <c r="B7" s="18" t="s">
        <v>32</v>
      </c>
      <c r="C7" s="19">
        <f ca="1">SUM(C8:C13)</f>
        <v>585034897546.87329</v>
      </c>
      <c r="E7" s="18" t="s">
        <v>33</v>
      </c>
      <c r="F7" s="19">
        <f ca="1">SUM(F8:F15)</f>
        <v>23480173666.490002</v>
      </c>
      <c r="BC7" s="56" t="s">
        <v>34</v>
      </c>
      <c r="BD7" s="56">
        <v>1006</v>
      </c>
    </row>
    <row r="8" spans="1:56">
      <c r="A8" s="20">
        <v>100</v>
      </c>
      <c r="B8" s="21" t="s">
        <v>35</v>
      </c>
      <c r="C8" s="22">
        <f ca="1">INDIRECT("'Aktif Detay'!"&amp;ADDRESS(IFERROR(MATCH(VLOOKUP($E$3,$BC$3:$BE$140,2,0),'Aktif Detay'!$B:$B,0),MATCH(9003,'Aktif Detay'!$B:$B,0)+1),MATCH(A8,'Aktif Detay'!$5:$5,0)))</f>
        <v>5585763.1600000001</v>
      </c>
      <c r="D8" s="23">
        <v>300</v>
      </c>
      <c r="E8" s="21" t="s">
        <v>36</v>
      </c>
      <c r="F8" s="22">
        <f ca="1">INDIRECT("'Pasif Detay'!"&amp;ADDRESS(IFERROR(MATCH(VLOOKUP($E$3,$BC$3:$BE$140,2,0),'Pasif Detay'!$B:$B,0),MATCH(9003,'Pasif Detay'!$B:$B,0)+1),MATCH(D8,'Pasif Detay'!$5:$5,0)))</f>
        <v>4760868.209999999</v>
      </c>
      <c r="BC8" s="56" t="s">
        <v>37</v>
      </c>
      <c r="BD8" s="56">
        <v>1007</v>
      </c>
    </row>
    <row r="9" spans="1:56">
      <c r="A9" s="20">
        <v>101</v>
      </c>
      <c r="B9" s="21" t="s">
        <v>38</v>
      </c>
      <c r="C9" s="22">
        <f ca="1">INDIRECT("'Aktif Detay'!"&amp;ADDRESS(IFERROR(MATCH(VLOOKUP($E$3,$BC$3:$BE$140,2,0),'Aktif Detay'!$B:$B,0),MATCH(9003,'Aktif Detay'!$B:$B,0)+1),MATCH(A9,'Aktif Detay'!$5:$5,0)))</f>
        <v>35070126</v>
      </c>
      <c r="D9" s="23">
        <v>301</v>
      </c>
      <c r="E9" s="21" t="s">
        <v>39</v>
      </c>
      <c r="F9" s="22">
        <f ca="1">INDIRECT("'Pasif Detay'!"&amp;ADDRESS(IFERROR(MATCH(VLOOKUP($E$3,$BC$3:$BE$140,2,0),'Pasif Detay'!$B:$B,0),MATCH(9003,'Pasif Detay'!$B:$B,0)+1),MATCH(D9,'Pasif Detay'!$5:$5,0)))</f>
        <v>2183030584.71</v>
      </c>
      <c r="BC9" s="56" t="s">
        <v>40</v>
      </c>
      <c r="BD9" s="56">
        <v>1008</v>
      </c>
    </row>
    <row r="10" spans="1:56">
      <c r="A10" s="20">
        <v>102</v>
      </c>
      <c r="B10" s="21" t="s">
        <v>41</v>
      </c>
      <c r="C10" s="22">
        <f ca="1">INDIRECT("'Aktif Detay'!"&amp;ADDRESS(IFERROR(MATCH(VLOOKUP($E$3,$BC$3:$BE$140,2,0),'Aktif Detay'!$B:$B,0),MATCH(9003,'Aktif Detay'!$B:$B,0)+1),MATCH(A10,'Aktif Detay'!$5:$5,0)))</f>
        <v>467103004687.02332</v>
      </c>
      <c r="D10" s="23">
        <v>302</v>
      </c>
      <c r="E10" s="21" t="s">
        <v>42</v>
      </c>
      <c r="F10" s="22">
        <f ca="1">INDIRECT("'Pasif Detay'!"&amp;ADDRESS(IFERROR(MATCH(VLOOKUP($E$3,$BC$3:$BE$140,2,0),'Pasif Detay'!$B:$B,0),MATCH(9003,'Pasif Detay'!$B:$B,0)+1),MATCH(D10,'Pasif Detay'!$5:$5,0)))</f>
        <v>-531367591.54000008</v>
      </c>
      <c r="BC10" s="56" t="s">
        <v>43</v>
      </c>
      <c r="BD10" s="56">
        <v>1009</v>
      </c>
    </row>
    <row r="11" spans="1:56">
      <c r="A11" s="15">
        <v>103</v>
      </c>
      <c r="B11" s="21" t="s">
        <v>44</v>
      </c>
      <c r="C11" s="22">
        <f ca="1">INDIRECT("'Aktif Detay'!"&amp;ADDRESS(IFERROR(MATCH(VLOOKUP($E$3,$BC$3:$BE$140,2,0),'Aktif Detay'!$B:$B,0),MATCH(9003,'Aktif Detay'!$B:$B,0)+1),MATCH(A11,'Aktif Detay'!$5:$5,0)))</f>
        <v>-6310.97</v>
      </c>
      <c r="D11" s="23">
        <v>303</v>
      </c>
      <c r="E11" s="21" t="s">
        <v>45</v>
      </c>
      <c r="F11" s="22">
        <f ca="1">INDIRECT("'Pasif Detay'!"&amp;ADDRESS(IFERROR(MATCH(VLOOKUP($E$3,$BC$3:$BE$140,2,0),'Pasif Detay'!$B:$B,0),MATCH(9003,'Pasif Detay'!$B:$B,0)+1),MATCH(D11,'Pasif Detay'!$5:$5,0)))</f>
        <v>0</v>
      </c>
      <c r="BC11" s="56" t="s">
        <v>46</v>
      </c>
      <c r="BD11" s="56">
        <v>1010</v>
      </c>
    </row>
    <row r="12" spans="1:56">
      <c r="A12" s="20">
        <v>106</v>
      </c>
      <c r="B12" s="21" t="s">
        <v>47</v>
      </c>
      <c r="C12" s="22">
        <f ca="1">INDIRECT("'Aktif Detay'!"&amp;ADDRESS(IFERROR(MATCH(VLOOKUP($E$3,$BC$3:$BE$140,2,0),'Aktif Detay'!$B:$B,0),MATCH(9003,'Aktif Detay'!$B:$B,0)+1),MATCH(A12,'Aktif Detay'!$5:$5,0)))</f>
        <v>114811098484.10997</v>
      </c>
      <c r="D12" s="23">
        <v>304</v>
      </c>
      <c r="E12" s="21" t="s">
        <v>48</v>
      </c>
      <c r="F12" s="22">
        <f ca="1">INDIRECT("'Pasif Detay'!"&amp;ADDRESS(IFERROR(MATCH(VLOOKUP($E$3,$BC$3:$BE$140,2,0),'Pasif Detay'!$B:$B,0),MATCH(9003,'Pasif Detay'!$B:$B,0)+1),MATCH(D12,'Pasif Detay'!$5:$5,0)))</f>
        <v>0</v>
      </c>
      <c r="BC12" s="56" t="s">
        <v>49</v>
      </c>
      <c r="BD12" s="56">
        <v>1011</v>
      </c>
    </row>
    <row r="13" spans="1:56">
      <c r="A13" s="20">
        <v>109</v>
      </c>
      <c r="B13" s="21" t="s">
        <v>50</v>
      </c>
      <c r="C13" s="22">
        <f ca="1">INDIRECT("'Aktif Detay'!"&amp;ADDRESS(IFERROR(MATCH(VLOOKUP($E$3,$BC$3:$BE$140,2,0),'Aktif Detay'!$B:$B,0),MATCH(9003,'Aktif Detay'!$B:$B,0)+1),MATCH(A13,'Aktif Detay'!$5:$5,0)))</f>
        <v>3080144797.5499997</v>
      </c>
      <c r="D13" s="23">
        <v>307</v>
      </c>
      <c r="E13" s="21" t="s">
        <v>51</v>
      </c>
      <c r="F13" s="22">
        <f ca="1">INDIRECT("'Pasif Detay'!"&amp;ADDRESS(IFERROR(MATCH(VLOOKUP($E$3,$BC$3:$BE$140,2,0),'Pasif Detay'!$B:$B,0),MATCH(9003,'Pasif Detay'!$B:$B,0)+1),MATCH(D13,'Pasif Detay'!$5:$5,0)))</f>
        <v>0</v>
      </c>
      <c r="BC13" s="56" t="s">
        <v>3</v>
      </c>
      <c r="BD13" s="56">
        <v>1012</v>
      </c>
    </row>
    <row r="14" spans="1:56">
      <c r="A14" s="20"/>
      <c r="B14" s="18" t="s">
        <v>52</v>
      </c>
      <c r="C14" s="19">
        <f ca="1">SUM(C15:C22)</f>
        <v>802416017799.09998</v>
      </c>
      <c r="D14" s="23">
        <v>308</v>
      </c>
      <c r="E14" s="21" t="s">
        <v>53</v>
      </c>
      <c r="F14" s="22">
        <f ca="1">INDIRECT("'Pasif Detay'!"&amp;ADDRESS(IFERROR(MATCH(VLOOKUP($E$3,$BC$3:$BE$140,2,0),'Pasif Detay'!$B:$B,0),MATCH(9003,'Pasif Detay'!$B:$B,0)+1),MATCH(D14,'Pasif Detay'!$5:$5,0)))</f>
        <v>0</v>
      </c>
      <c r="BC14" s="56" t="s">
        <v>5</v>
      </c>
      <c r="BD14" s="56">
        <v>1013</v>
      </c>
    </row>
    <row r="15" spans="1:56">
      <c r="A15" s="15">
        <v>110</v>
      </c>
      <c r="B15" s="21" t="s">
        <v>54</v>
      </c>
      <c r="C15" s="22">
        <f ca="1">INDIRECT("'Aktif Detay'!"&amp;ADDRESS(IFERROR(MATCH(VLOOKUP($E$3,$BC$3:$BE$140,2,0),'Aktif Detay'!$B:$B,0),MATCH(9003,'Aktif Detay'!$B:$B,0)+1),MATCH(A15,'Aktif Detay'!$5:$5,0)))</f>
        <v>332227955992.91003</v>
      </c>
      <c r="D15" s="23">
        <v>309</v>
      </c>
      <c r="E15" s="21" t="s">
        <v>55</v>
      </c>
      <c r="F15" s="22">
        <f ca="1">INDIRECT("'Pasif Detay'!"&amp;ADDRESS(IFERROR(MATCH(VLOOKUP($E$3,$BC$3:$BE$140,2,0),'Pasif Detay'!$B:$B,0),MATCH(9003,'Pasif Detay'!$B:$B,0)+1),MATCH(D15,'Pasif Detay'!$5:$5,0)))</f>
        <v>21823749805.110001</v>
      </c>
      <c r="BC15" s="56" t="s">
        <v>56</v>
      </c>
      <c r="BD15" s="56">
        <v>1016</v>
      </c>
    </row>
    <row r="16" spans="1:56">
      <c r="A16" s="20">
        <v>111</v>
      </c>
      <c r="B16" s="21" t="s">
        <v>57</v>
      </c>
      <c r="C16" s="22">
        <f ca="1">INDIRECT("'Aktif Detay'!"&amp;ADDRESS(IFERROR(MATCH(VLOOKUP($E$3,$BC$3:$BE$140,2,0),'Aktif Detay'!$B:$B,0),MATCH(9003,'Aktif Detay'!$B:$B,0)+1),MATCH(A16,'Aktif Detay'!$5:$5,0)))</f>
        <v>69567248341.580002</v>
      </c>
      <c r="D16" s="23"/>
      <c r="E16" s="18" t="s">
        <v>58</v>
      </c>
      <c r="F16" s="19">
        <f ca="1">SUM(F17:F22)</f>
        <v>536932549464.31641</v>
      </c>
      <c r="BC16" s="56" t="s">
        <v>59</v>
      </c>
      <c r="BD16" s="56">
        <v>1017</v>
      </c>
    </row>
    <row r="17" spans="1:56">
      <c r="A17" s="20">
        <v>112</v>
      </c>
      <c r="B17" s="21" t="s">
        <v>60</v>
      </c>
      <c r="C17" s="22">
        <f ca="1">INDIRECT("'Aktif Detay'!"&amp;ADDRESS(IFERROR(MATCH(VLOOKUP($E$3,$BC$3:$BE$140,2,0),'Aktif Detay'!$B:$B,0),MATCH(9003,'Aktif Detay'!$B:$B,0)+1),MATCH(A17,'Aktif Detay'!$5:$5,0)))</f>
        <v>270898643531.01001</v>
      </c>
      <c r="D17" s="23">
        <v>320</v>
      </c>
      <c r="E17" s="21" t="s">
        <v>61</v>
      </c>
      <c r="F17" s="22">
        <f ca="1">INDIRECT("'Pasif Detay'!"&amp;ADDRESS(IFERROR(MATCH(VLOOKUP($E$3,$BC$3:$BE$140,2,0),'Pasif Detay'!$B:$B,0),MATCH(9003,'Pasif Detay'!$B:$B,0)+1),MATCH(D17,'Pasif Detay'!$5:$5,0)))</f>
        <v>93435552159.318451</v>
      </c>
      <c r="BC17" s="56" t="s">
        <v>7</v>
      </c>
      <c r="BD17" s="56">
        <v>1018</v>
      </c>
    </row>
    <row r="18" spans="1:56">
      <c r="A18" s="20">
        <v>115</v>
      </c>
      <c r="B18" s="21" t="s">
        <v>62</v>
      </c>
      <c r="C18" s="22">
        <f ca="1">INDIRECT("'Aktif Detay'!"&amp;ADDRESS(IFERROR(MATCH(VLOOKUP($E$3,$BC$3:$BE$140,2,0),'Aktif Detay'!$B:$B,0),MATCH(9003,'Aktif Detay'!$B:$B,0)+1),MATCH(A18,'Aktif Detay'!$5:$5,0)))</f>
        <v>1544690536.1600342</v>
      </c>
      <c r="D18" s="23">
        <v>322</v>
      </c>
      <c r="E18" s="21" t="s">
        <v>63</v>
      </c>
      <c r="F18" s="22">
        <f ca="1">INDIRECT("'Pasif Detay'!"&amp;ADDRESS(IFERROR(MATCH(VLOOKUP($E$3,$BC$3:$BE$140,2,0),'Pasif Detay'!$B:$B,0),MATCH(9003,'Pasif Detay'!$B:$B,0)+1),MATCH(D18,'Pasif Detay'!$5:$5,0)))</f>
        <v>3833028988.1598687</v>
      </c>
      <c r="BC18" s="56" t="s">
        <v>8</v>
      </c>
      <c r="BD18" s="56">
        <v>1020</v>
      </c>
    </row>
    <row r="19" spans="1:56">
      <c r="A19" s="15">
        <v>116</v>
      </c>
      <c r="B19" s="21" t="s">
        <v>64</v>
      </c>
      <c r="C19" s="22">
        <f ca="1">INDIRECT("'Aktif Detay'!"&amp;ADDRESS(IFERROR(MATCH(VLOOKUP($E$3,$BC$3:$BE$140,2,0),'Aktif Detay'!$B:$B,0),MATCH(9003,'Aktif Detay'!$B:$B,0)+1),MATCH(A19,'Aktif Detay'!$5:$5,0)))</f>
        <v>0</v>
      </c>
      <c r="D19" s="23">
        <v>324</v>
      </c>
      <c r="E19" s="21" t="s">
        <v>65</v>
      </c>
      <c r="F19" s="22">
        <f ca="1">INDIRECT("'Pasif Detay'!"&amp;ADDRESS(IFERROR(MATCH(VLOOKUP($E$3,$BC$3:$BE$140,2,0),'Pasif Detay'!$B:$B,0),MATCH(9003,'Pasif Detay'!$B:$B,0)+1),MATCH(D19,'Pasif Detay'!$5:$5,0)))</f>
        <v>408626681.01999998</v>
      </c>
      <c r="BC19" s="56" t="s">
        <v>66</v>
      </c>
      <c r="BD19" s="56">
        <v>1022</v>
      </c>
    </row>
    <row r="20" spans="1:56">
      <c r="A20" s="20">
        <v>117</v>
      </c>
      <c r="B20" s="21" t="s">
        <v>67</v>
      </c>
      <c r="C20" s="22">
        <f ca="1">INDIRECT("'Aktif Detay'!"&amp;ADDRESS(IFERROR(MATCH(VLOOKUP($E$3,$BC$3:$BE$140,2,0),'Aktif Detay'!$B:$B,0),MATCH(9003,'Aktif Detay'!$B:$B,0)+1),MATCH(A20,'Aktif Detay'!$5:$5,0)))</f>
        <v>128182807215.47</v>
      </c>
      <c r="D20" s="23">
        <v>327</v>
      </c>
      <c r="E20" s="21" t="s">
        <v>68</v>
      </c>
      <c r="F20" s="22">
        <f ca="1">INDIRECT("'Pasif Detay'!"&amp;ADDRESS(IFERROR(MATCH(VLOOKUP($E$3,$BC$3:$BE$140,2,0),'Pasif Detay'!$B:$B,0),MATCH(9003,'Pasif Detay'!$B:$B,0)+1),MATCH(D20,'Pasif Detay'!$5:$5,0)))</f>
        <v>425353343974.97021</v>
      </c>
      <c r="BC20" s="56" t="s">
        <v>9</v>
      </c>
      <c r="BD20" s="56">
        <v>1025</v>
      </c>
    </row>
    <row r="21" spans="1:56">
      <c r="A21" s="20">
        <v>118</v>
      </c>
      <c r="B21" s="21" t="s">
        <v>69</v>
      </c>
      <c r="C21" s="22">
        <f ca="1">INDIRECT("'Aktif Detay'!"&amp;ADDRESS(IFERROR(MATCH(VLOOKUP($E$3,$BC$3:$BE$140,2,0),'Aktif Detay'!$B:$B,0),MATCH(9003,'Aktif Detay'!$B:$B,0)+1),MATCH(A21,'Aktif Detay'!$5:$5,0)))</f>
        <v>0</v>
      </c>
      <c r="D21" s="23">
        <v>328</v>
      </c>
      <c r="E21" s="21" t="s">
        <v>70</v>
      </c>
      <c r="F21" s="22">
        <f ca="1">INDIRECT("'Pasif Detay'!"&amp;ADDRESS(IFERROR(MATCH(VLOOKUP($E$3,$BC$3:$BE$140,2,0),'Pasif Detay'!$B:$B,0),MATCH(9003,'Pasif Detay'!$B:$B,0)+1),MATCH(D21,'Pasif Detay'!$5:$5,0)))</f>
        <v>14481575648.007872</v>
      </c>
      <c r="BC21" s="56" t="s">
        <v>71</v>
      </c>
      <c r="BD21" s="56">
        <v>1027</v>
      </c>
    </row>
    <row r="22" spans="1:56">
      <c r="A22" s="15">
        <v>119</v>
      </c>
      <c r="B22" s="21" t="s">
        <v>72</v>
      </c>
      <c r="C22" s="22">
        <f ca="1">INDIRECT("'Aktif Detay'!"&amp;ADDRESS(IFERROR(MATCH(VLOOKUP($E$3,$BC$3:$BE$140,2,0),'Aktif Detay'!$B:$B,0),MATCH(9003,'Aktif Detay'!$B:$B,0)+1),MATCH(A22,'Aktif Detay'!$5:$5,0)))</f>
        <v>-5327818.0299999993</v>
      </c>
      <c r="D22" s="23">
        <v>329</v>
      </c>
      <c r="E22" s="21" t="s">
        <v>73</v>
      </c>
      <c r="F22" s="22">
        <f ca="1">INDIRECT("'Pasif Detay'!"&amp;ADDRESS(IFERROR(MATCH(VLOOKUP($E$3,$BC$3:$BE$140,2,0),'Pasif Detay'!$B:$B,0),MATCH(9003,'Pasif Detay'!$B:$B,0)+1),MATCH(D22,'Pasif Detay'!$5:$5,0)))</f>
        <v>-579577987.16000009</v>
      </c>
      <c r="H22" s="24"/>
      <c r="BC22" s="56" t="s">
        <v>10</v>
      </c>
      <c r="BD22" s="56">
        <v>1028</v>
      </c>
    </row>
    <row r="23" spans="1:56">
      <c r="A23" s="20"/>
      <c r="B23" s="18" t="s">
        <v>74</v>
      </c>
      <c r="C23" s="19">
        <f ca="1">SUM(C24:C33)</f>
        <v>693249910406.78735</v>
      </c>
      <c r="D23" s="23"/>
      <c r="E23" s="18" t="s">
        <v>75</v>
      </c>
      <c r="F23" s="19">
        <f ca="1">SUM(F24:F29)</f>
        <v>9750090729.9461956</v>
      </c>
      <c r="BC23" s="56" t="s">
        <v>12</v>
      </c>
      <c r="BD23" s="56">
        <v>1030</v>
      </c>
    </row>
    <row r="24" spans="1:56">
      <c r="A24" s="20">
        <v>120</v>
      </c>
      <c r="B24" s="21" t="s">
        <v>76</v>
      </c>
      <c r="C24" s="22">
        <f ca="1">INDIRECT("'Aktif Detay'!"&amp;ADDRESS(IFERROR(MATCH(VLOOKUP($E$3,$BC$3:$BE$140,2,0),'Aktif Detay'!$B:$B,0),MATCH(9003,'Aktif Detay'!$B:$B,0)+1),MATCH(A24,'Aktif Detay'!$5:$5,0)))</f>
        <v>262080636392.04724</v>
      </c>
      <c r="D24" s="23">
        <v>331</v>
      </c>
      <c r="E24" s="21" t="s">
        <v>77</v>
      </c>
      <c r="F24" s="22">
        <f ca="1">INDIRECT("'Pasif Detay'!"&amp;ADDRESS(IFERROR(MATCH(VLOOKUP($E$3,$BC$3:$BE$140,2,0),'Pasif Detay'!$B:$B,0),MATCH(9003,'Pasif Detay'!$B:$B,0)+1),MATCH(D24,'Pasif Detay'!$5:$5,0)))</f>
        <v>8364454418.5561962</v>
      </c>
      <c r="BC24" s="56" t="s">
        <v>78</v>
      </c>
      <c r="BD24" s="56">
        <v>1031</v>
      </c>
    </row>
    <row r="25" spans="1:56">
      <c r="A25" s="15">
        <v>121</v>
      </c>
      <c r="B25" s="21" t="s">
        <v>79</v>
      </c>
      <c r="C25" s="22">
        <f ca="1">INDIRECT("'Aktif Detay'!"&amp;ADDRESS(IFERROR(MATCH(VLOOKUP($E$3,$BC$3:$BE$140,2,0),'Aktif Detay'!$B:$B,0),MATCH(9003,'Aktif Detay'!$B:$B,0)+1),MATCH(A25,'Aktif Detay'!$5:$5,0)))</f>
        <v>-3917395338.5599995</v>
      </c>
      <c r="D25" s="23">
        <v>332</v>
      </c>
      <c r="E25" s="21" t="s">
        <v>80</v>
      </c>
      <c r="F25" s="22">
        <f ca="1">INDIRECT("'Pasif Detay'!"&amp;ADDRESS(IFERROR(MATCH(VLOOKUP($E$3,$BC$3:$BE$140,2,0),'Pasif Detay'!$B:$B,0),MATCH(9003,'Pasif Detay'!$B:$B,0)+1),MATCH(D25,'Pasif Detay'!$5:$5,0)))</f>
        <v>0</v>
      </c>
      <c r="BC25" s="56" t="s">
        <v>81</v>
      </c>
      <c r="BD25" s="56">
        <v>1032</v>
      </c>
    </row>
    <row r="26" spans="1:56">
      <c r="A26" s="15">
        <v>122</v>
      </c>
      <c r="B26" s="21" t="s">
        <v>82</v>
      </c>
      <c r="C26" s="22">
        <f ca="1">INDIRECT("'Aktif Detay'!"&amp;ADDRESS(IFERROR(MATCH(VLOOKUP($E$3,$BC$3:$BE$140,2,0),'Aktif Detay'!$B:$B,0),MATCH(9003,'Aktif Detay'!$B:$B,0)+1),MATCH(A26,'Aktif Detay'!$5:$5,0)))</f>
        <v>14977580165.58</v>
      </c>
      <c r="D26" s="23">
        <v>333</v>
      </c>
      <c r="E26" s="21" t="s">
        <v>83</v>
      </c>
      <c r="F26" s="22">
        <f ca="1">INDIRECT("'Pasif Detay'!"&amp;ADDRESS(IFERROR(MATCH(VLOOKUP($E$3,$BC$3:$BE$140,2,0),'Pasif Detay'!$B:$B,0),MATCH(9003,'Pasif Detay'!$B:$B,0)+1),MATCH(D26,'Pasif Detay'!$5:$5,0)))</f>
        <v>4855516.96</v>
      </c>
      <c r="BC26" s="56" t="s">
        <v>13</v>
      </c>
      <c r="BD26" s="56">
        <v>1034</v>
      </c>
    </row>
    <row r="27" spans="1:56">
      <c r="A27" s="15">
        <v>123</v>
      </c>
      <c r="B27" s="21" t="s">
        <v>84</v>
      </c>
      <c r="C27" s="22">
        <f ca="1">INDIRECT("'Aktif Detay'!"&amp;ADDRESS(IFERROR(MATCH(VLOOKUP($E$3,$BC$3:$BE$140,2,0),'Aktif Detay'!$B:$B,0),MATCH(9003,'Aktif Detay'!$B:$B,0)+1),MATCH(A27,'Aktif Detay'!$5:$5,0)))</f>
        <v>-92718171.459999993</v>
      </c>
      <c r="D27" s="23">
        <v>334</v>
      </c>
      <c r="E27" s="21" t="s">
        <v>85</v>
      </c>
      <c r="F27" s="22">
        <f ca="1">INDIRECT("'Pasif Detay'!"&amp;ADDRESS(IFERROR(MATCH(VLOOKUP($E$3,$BC$3:$BE$140,2,0),'Pasif Detay'!$B:$B,0),MATCH(9003,'Pasif Detay'!$B:$B,0)+1),MATCH(D27,'Pasif Detay'!$5:$5,0)))</f>
        <v>37681423.57</v>
      </c>
      <c r="BC27" s="56" t="s">
        <v>6</v>
      </c>
      <c r="BD27" s="56">
        <v>1035</v>
      </c>
    </row>
    <row r="28" spans="1:56">
      <c r="A28" s="15">
        <v>124</v>
      </c>
      <c r="B28" s="21" t="s">
        <v>86</v>
      </c>
      <c r="C28" s="22">
        <f ca="1">INDIRECT("'Aktif Detay'!"&amp;ADDRESS(IFERROR(MATCH(VLOOKUP($E$3,$BC$3:$BE$140,2,0),'Aktif Detay'!$B:$B,0),MATCH(9003,'Aktif Detay'!$B:$B,0)+1),MATCH(A28,'Aktif Detay'!$5:$5,0)))</f>
        <v>5934853892.2899981</v>
      </c>
      <c r="D28" s="23">
        <v>335</v>
      </c>
      <c r="E28" s="21" t="s">
        <v>87</v>
      </c>
      <c r="F28" s="22">
        <f ca="1">INDIRECT("'Pasif Detay'!"&amp;ADDRESS(IFERROR(MATCH(VLOOKUP($E$3,$BC$3:$BE$140,2,0),'Pasif Detay'!$B:$B,0),MATCH(9003,'Pasif Detay'!$B:$B,0)+1),MATCH(D28,'Pasif Detay'!$5:$5,0)))</f>
        <v>230370356.51000002</v>
      </c>
      <c r="BC28" s="56" t="s">
        <v>18</v>
      </c>
      <c r="BD28" s="56">
        <v>1036</v>
      </c>
    </row>
    <row r="29" spans="1:56">
      <c r="A29" s="15">
        <v>125</v>
      </c>
      <c r="B29" s="21" t="s">
        <v>88</v>
      </c>
      <c r="C29" s="22">
        <f ca="1">INDIRECT("'Aktif Detay'!"&amp;ADDRESS(IFERROR(MATCH(VLOOKUP($E$3,$BC$3:$BE$140,2,0),'Aktif Detay'!$B:$B,0),MATCH(9003,'Aktif Detay'!$B:$B,0)+1),MATCH(A29,'Aktif Detay'!$5:$5,0)))</f>
        <v>4663874782.0199995</v>
      </c>
      <c r="D29" s="23">
        <v>338</v>
      </c>
      <c r="E29" s="21" t="s">
        <v>89</v>
      </c>
      <c r="F29" s="22">
        <f ca="1">INDIRECT("'Pasif Detay'!"&amp;ADDRESS(IFERROR(MATCH(VLOOKUP($E$3,$BC$3:$BE$140,2,0),'Pasif Detay'!$B:$B,0),MATCH(9003,'Pasif Detay'!$B:$B,0)+1),MATCH(D29,'Pasif Detay'!$5:$5,0)))</f>
        <v>1112729014.3500001</v>
      </c>
      <c r="BC29" s="56" t="s">
        <v>15</v>
      </c>
      <c r="BD29" s="56">
        <v>1037</v>
      </c>
    </row>
    <row r="30" spans="1:56">
      <c r="A30" s="20">
        <v>126</v>
      </c>
      <c r="B30" s="21" t="s">
        <v>90</v>
      </c>
      <c r="C30" s="22">
        <f ca="1">INDIRECT("'Aktif Detay'!"&amp;ADDRESS(IFERROR(MATCH(VLOOKUP($E$3,$BC$3:$BE$140,2,0),'Aktif Detay'!$B:$B,0),MATCH(9003,'Aktif Detay'!$B:$B,0)+1),MATCH(A30,'Aktif Detay'!$5:$5,0)))</f>
        <v>0</v>
      </c>
      <c r="D30" s="23"/>
      <c r="E30" s="18" t="s">
        <v>91</v>
      </c>
      <c r="F30" s="19">
        <f ca="1">SUM(F31:F34)</f>
        <v>26558512486.468834</v>
      </c>
      <c r="BC30" s="56" t="s">
        <v>17</v>
      </c>
      <c r="BD30" s="56">
        <v>1038</v>
      </c>
    </row>
    <row r="31" spans="1:56">
      <c r="A31" s="20">
        <v>127</v>
      </c>
      <c r="B31" s="21" t="s">
        <v>92</v>
      </c>
      <c r="C31" s="22">
        <f ca="1">INDIRECT("'Aktif Detay'!"&amp;ADDRESS(IFERROR(MATCH(VLOOKUP($E$3,$BC$3:$BE$140,2,0),'Aktif Detay'!$B:$B,0),MATCH(9003,'Aktif Detay'!$B:$B,0)+1),MATCH(A31,'Aktif Detay'!$5:$5,0)))</f>
        <v>409404222912.62006</v>
      </c>
      <c r="D31" s="23">
        <v>345</v>
      </c>
      <c r="E31" s="21" t="s">
        <v>93</v>
      </c>
      <c r="F31" s="22">
        <f ca="1">INDIRECT("'Pasif Detay'!"&amp;ADDRESS(IFERROR(MATCH(VLOOKUP($E$3,$BC$3:$BE$140,2,0),'Pasif Detay'!$B:$B,0),MATCH(9003,'Pasif Detay'!$B:$B,0)+1),MATCH(D31,'Pasif Detay'!$5:$5,0)))</f>
        <v>1902079271.3499999</v>
      </c>
      <c r="BC31" s="56" t="s">
        <v>94</v>
      </c>
      <c r="BD31" s="56">
        <v>1039</v>
      </c>
    </row>
    <row r="32" spans="1:56">
      <c r="A32" s="15">
        <v>128</v>
      </c>
      <c r="B32" s="21" t="s">
        <v>95</v>
      </c>
      <c r="C32" s="22">
        <f ca="1">INDIRECT("'Aktif Detay'!"&amp;ADDRESS(IFERROR(MATCH(VLOOKUP($E$3,$BC$3:$BE$140,2,0),'Aktif Detay'!$B:$B,0),MATCH(9003,'Aktif Detay'!$B:$B,0)+1),MATCH(A32,'Aktif Detay'!$5:$5,0)))</f>
        <v>28340856054.489998</v>
      </c>
      <c r="D32" s="23">
        <v>346</v>
      </c>
      <c r="E32" s="21" t="s">
        <v>96</v>
      </c>
      <c r="F32" s="22">
        <f ca="1">INDIRECT("'Pasif Detay'!"&amp;ADDRESS(IFERROR(MATCH(VLOOKUP($E$3,$BC$3:$BE$140,2,0),'Pasif Detay'!$B:$B,0),MATCH(9003,'Pasif Detay'!$B:$B,0)+1),MATCH(D32,'Pasif Detay'!$5:$5,0)))</f>
        <v>7614362961.920001</v>
      </c>
      <c r="BC32" s="56" t="s">
        <v>97</v>
      </c>
      <c r="BD32" s="56">
        <v>1040</v>
      </c>
    </row>
    <row r="33" spans="1:56">
      <c r="A33" s="20">
        <v>129</v>
      </c>
      <c r="B33" s="21" t="s">
        <v>98</v>
      </c>
      <c r="C33" s="22">
        <f ca="1">INDIRECT("'Aktif Detay'!"&amp;ADDRESS(IFERROR(MATCH(VLOOKUP($E$3,$BC$3:$BE$140,2,0),'Aktif Detay'!$B:$B,0),MATCH(9003,'Aktif Detay'!$B:$B,0)+1),MATCH(A33,'Aktif Detay'!$5:$5,0)))</f>
        <v>-28142000282.239998</v>
      </c>
      <c r="D33" s="23">
        <v>347</v>
      </c>
      <c r="E33" s="21" t="s">
        <v>99</v>
      </c>
      <c r="F33" s="22">
        <f ca="1">INDIRECT("'Pasif Detay'!"&amp;ADDRESS(IFERROR(MATCH(VLOOKUP($E$3,$BC$3:$BE$140,2,0),'Pasif Detay'!$B:$B,0),MATCH(9003,'Pasif Detay'!$B:$B,0)+1),MATCH(D33,'Pasif Detay'!$5:$5,0)))</f>
        <v>17239982187.608833</v>
      </c>
      <c r="BC33" s="56" t="s">
        <v>100</v>
      </c>
      <c r="BD33" s="56">
        <v>1043</v>
      </c>
    </row>
    <row r="34" spans="1:56">
      <c r="A34" s="20"/>
      <c r="B34" s="18" t="s">
        <v>101</v>
      </c>
      <c r="C34" s="19">
        <f ca="1">SUM(C35:C43)</f>
        <v>667008588.77440012</v>
      </c>
      <c r="D34" s="23">
        <v>349</v>
      </c>
      <c r="E34" s="21" t="s">
        <v>102</v>
      </c>
      <c r="F34" s="22">
        <f ca="1">INDIRECT("'Pasif Detay'!"&amp;ADDRESS(IFERROR(MATCH(VLOOKUP($E$3,$BC$3:$BE$140,2,0),'Pasif Detay'!$B:$B,0),MATCH(9003,'Pasif Detay'!$B:$B,0)+1),MATCH(D34,'Pasif Detay'!$5:$5,0)))</f>
        <v>-197911934.41</v>
      </c>
      <c r="BC34" s="56" t="s">
        <v>103</v>
      </c>
      <c r="BD34" s="56">
        <v>1044</v>
      </c>
    </row>
    <row r="35" spans="1:56">
      <c r="A35" s="15">
        <v>131</v>
      </c>
      <c r="B35" s="21" t="s">
        <v>104</v>
      </c>
      <c r="C35" s="22">
        <f ca="1">INDIRECT("'Aktif Detay'!"&amp;ADDRESS(IFERROR(MATCH(VLOOKUP($E$3,$BC$3:$BE$140,2,0),'Aktif Detay'!$B:$B,0),MATCH(9003,'Aktif Detay'!$B:$B,0)+1),MATCH(A35,'Aktif Detay'!$5:$5,0)))</f>
        <v>47598423.009999998</v>
      </c>
      <c r="D35" s="23"/>
      <c r="E35" s="18" t="s">
        <v>105</v>
      </c>
      <c r="F35" s="19">
        <f ca="1">SUM(F36:F41)</f>
        <v>984857781887.80518</v>
      </c>
      <c r="BC35" s="56" t="s">
        <v>106</v>
      </c>
      <c r="BD35" s="56">
        <v>1045</v>
      </c>
    </row>
    <row r="36" spans="1:56">
      <c r="A36" s="20">
        <v>132</v>
      </c>
      <c r="B36" s="21" t="s">
        <v>107</v>
      </c>
      <c r="C36" s="22">
        <f ca="1">INDIRECT("'Aktif Detay'!"&amp;ADDRESS(IFERROR(MATCH(VLOOKUP($E$3,$BC$3:$BE$140,2,0),'Aktif Detay'!$B:$B,0),MATCH(9003,'Aktif Detay'!$B:$B,0)+1),MATCH(A36,'Aktif Detay'!$5:$5,0)))</f>
        <v>220905685.78999999</v>
      </c>
      <c r="D36" s="23">
        <v>350</v>
      </c>
      <c r="E36" s="21" t="s">
        <v>108</v>
      </c>
      <c r="F36" s="22">
        <f ca="1">INDIRECT("'Pasif Detay'!"&amp;ADDRESS(IFERROR(MATCH(VLOOKUP($E$3,$BC$3:$BE$140,2,0),'Pasif Detay'!$B:$B,0),MATCH(9003,'Pasif Detay'!$B:$B,0)+1),MATCH(D36,'Pasif Detay'!$5:$5,0)))</f>
        <v>500180670193.13953</v>
      </c>
      <c r="BC36" s="56" t="s">
        <v>109</v>
      </c>
      <c r="BD36" s="56">
        <v>1046</v>
      </c>
    </row>
    <row r="37" spans="1:56">
      <c r="A37" s="20">
        <v>133</v>
      </c>
      <c r="B37" s="21" t="s">
        <v>110</v>
      </c>
      <c r="C37" s="22">
        <f ca="1">INDIRECT("'Aktif Detay'!"&amp;ADDRESS(IFERROR(MATCH(VLOOKUP($E$3,$BC$3:$BE$140,2,0),'Aktif Detay'!$B:$B,0),MATCH(9003,'Aktif Detay'!$B:$B,0)+1),MATCH(A37,'Aktif Detay'!$5:$5,0)))</f>
        <v>57216872.530000016</v>
      </c>
      <c r="D37" s="23">
        <v>351</v>
      </c>
      <c r="E37" s="21" t="s">
        <v>111</v>
      </c>
      <c r="F37" s="22">
        <f ca="1">INDIRECT("'Pasif Detay'!"&amp;ADDRESS(IFERROR(MATCH(VLOOKUP($E$3,$BC$3:$BE$140,2,0),'Pasif Detay'!$B:$B,0),MATCH(9003,'Pasif Detay'!$B:$B,0)+1),MATCH(D37,'Pasif Detay'!$5:$5,0)))</f>
        <v>18177049593.630005</v>
      </c>
      <c r="BC37" s="56" t="s">
        <v>112</v>
      </c>
      <c r="BD37" s="56">
        <v>1048</v>
      </c>
    </row>
    <row r="38" spans="1:56">
      <c r="A38" s="15">
        <v>134</v>
      </c>
      <c r="B38" s="21" t="s">
        <v>113</v>
      </c>
      <c r="C38" s="22">
        <f ca="1">INDIRECT("'Aktif Detay'!"&amp;ADDRESS(IFERROR(MATCH(VLOOKUP($E$3,$BC$3:$BE$140,2,0),'Aktif Detay'!$B:$B,0),MATCH(9003,'Aktif Detay'!$B:$B,0)+1),MATCH(A38,'Aktif Detay'!$5:$5,0)))</f>
        <v>39118575.840000004</v>
      </c>
      <c r="D38" s="23">
        <v>352</v>
      </c>
      <c r="E38" s="21" t="s">
        <v>114</v>
      </c>
      <c r="F38" s="22">
        <f ca="1">INDIRECT("'Pasif Detay'!"&amp;ADDRESS(IFERROR(MATCH(VLOOKUP($E$3,$BC$3:$BE$140,2,0),'Pasif Detay'!$B:$B,0),MATCH(9003,'Pasif Detay'!$B:$B,0)+1),MATCH(D38,'Pasif Detay'!$5:$5,0)))</f>
        <v>57002471150.350105</v>
      </c>
      <c r="BC38" s="56" t="s">
        <v>115</v>
      </c>
      <c r="BD38" s="56">
        <v>1049</v>
      </c>
    </row>
    <row r="39" spans="1:56">
      <c r="A39" s="15">
        <v>135</v>
      </c>
      <c r="B39" s="21" t="s">
        <v>116</v>
      </c>
      <c r="C39" s="22">
        <f ca="1">INDIRECT("'Aktif Detay'!"&amp;ADDRESS(IFERROR(MATCH(VLOOKUP($E$3,$BC$3:$BE$140,2,0),'Aktif Detay'!$B:$B,0),MATCH(9003,'Aktif Detay'!$B:$B,0)+1),MATCH(A39,'Aktif Detay'!$5:$5,0)))</f>
        <v>19016184.090000004</v>
      </c>
      <c r="D39" s="23">
        <v>353</v>
      </c>
      <c r="E39" s="21" t="s">
        <v>117</v>
      </c>
      <c r="F39" s="22">
        <f ca="1">INDIRECT("'Pasif Detay'!"&amp;ADDRESS(IFERROR(MATCH(VLOOKUP($E$3,$BC$3:$BE$140,2,0),'Pasif Detay'!$B:$B,0),MATCH(9003,'Pasif Detay'!$B:$B,0)+1),MATCH(D39,'Pasif Detay'!$5:$5,0)))</f>
        <v>405080250374.57556</v>
      </c>
      <c r="BC39" s="56" t="s">
        <v>118</v>
      </c>
      <c r="BD39" s="56">
        <v>1051</v>
      </c>
    </row>
    <row r="40" spans="1:56">
      <c r="A40" s="20">
        <v>136</v>
      </c>
      <c r="B40" s="21" t="s">
        <v>119</v>
      </c>
      <c r="C40" s="22">
        <f ca="1">INDIRECT("'Aktif Detay'!"&amp;ADDRESS(IFERROR(MATCH(VLOOKUP($E$3,$BC$3:$BE$140,2,0),'Aktif Detay'!$B:$B,0),MATCH(9003,'Aktif Detay'!$B:$B,0)+1),MATCH(A40,'Aktif Detay'!$5:$5,0)))</f>
        <v>283152847.51440001</v>
      </c>
      <c r="D40" s="23">
        <v>354</v>
      </c>
      <c r="E40" s="21" t="s">
        <v>120</v>
      </c>
      <c r="F40" s="22">
        <f ca="1">INDIRECT("'Pasif Detay'!"&amp;ADDRESS(IFERROR(MATCH(VLOOKUP($E$3,$BC$3:$BE$140,2,0),'Pasif Detay'!$B:$B,0),MATCH(9003,'Pasif Detay'!$B:$B,0)+1),MATCH(D40,'Pasif Detay'!$5:$5,0)))</f>
        <v>3313690748.2800007</v>
      </c>
      <c r="BC40" s="56" t="s">
        <v>121</v>
      </c>
      <c r="BD40" s="56">
        <v>1052</v>
      </c>
    </row>
    <row r="41" spans="1:56">
      <c r="A41" s="20">
        <v>137</v>
      </c>
      <c r="B41" s="21" t="s">
        <v>122</v>
      </c>
      <c r="C41" s="22">
        <f ca="1">INDIRECT("'Aktif Detay'!"&amp;ADDRESS(IFERROR(MATCH(VLOOKUP($E$3,$BC$3:$BE$140,2,0),'Aktif Detay'!$B:$B,0),MATCH(9003,'Aktif Detay'!$B:$B,0)+1),MATCH(A41,'Aktif Detay'!$5:$5,0)))</f>
        <v>0</v>
      </c>
      <c r="D41" s="23">
        <v>359</v>
      </c>
      <c r="E41" s="21" t="s">
        <v>123</v>
      </c>
      <c r="F41" s="22">
        <f ca="1">INDIRECT("'Pasif Detay'!"&amp;ADDRESS(IFERROR(MATCH(VLOOKUP($E$3,$BC$3:$BE$140,2,0),'Pasif Detay'!$B:$B,0),MATCH(9003,'Pasif Detay'!$B:$B,0)+1),MATCH(D41,'Pasif Detay'!$5:$5,0)))</f>
        <v>1103649827.8300002</v>
      </c>
      <c r="BC41" s="56" t="s">
        <v>124</v>
      </c>
      <c r="BD41" s="56">
        <v>1053</v>
      </c>
    </row>
    <row r="42" spans="1:56">
      <c r="A42" s="20">
        <v>138</v>
      </c>
      <c r="B42" s="21" t="s">
        <v>125</v>
      </c>
      <c r="C42" s="22">
        <f ca="1">INDIRECT("'Aktif Detay'!"&amp;ADDRESS(IFERROR(MATCH(VLOOKUP($E$3,$BC$3:$BE$140,2,0),'Aktif Detay'!$B:$B,0),MATCH(9003,'Aktif Detay'!$B:$B,0)+1),MATCH(A42,'Aktif Detay'!$5:$5,0)))</f>
        <v>1551278.06</v>
      </c>
      <c r="D42" s="23"/>
      <c r="E42" s="18" t="s">
        <v>126</v>
      </c>
      <c r="F42" s="19">
        <f ca="1">SUM(F43:F49)</f>
        <v>33744270126.22506</v>
      </c>
      <c r="BC42" s="56" t="s">
        <v>127</v>
      </c>
      <c r="BD42" s="56">
        <v>1054</v>
      </c>
    </row>
    <row r="43" spans="1:56">
      <c r="A43" s="15">
        <v>139</v>
      </c>
      <c r="B43" s="21" t="s">
        <v>128</v>
      </c>
      <c r="C43" s="22">
        <f ca="1">INDIRECT("'Aktif Detay'!"&amp;ADDRESS(IFERROR(MATCH(VLOOKUP($E$3,$BC$3:$BE$140,2,0),'Aktif Detay'!$B:$B,0),MATCH(9003,'Aktif Detay'!$B:$B,0)+1),MATCH(A43,'Aktif Detay'!$5:$5,0)))</f>
        <v>-1551278.06</v>
      </c>
      <c r="D43" s="23">
        <v>360</v>
      </c>
      <c r="E43" s="21" t="s">
        <v>129</v>
      </c>
      <c r="F43" s="22">
        <f ca="1">INDIRECT("'Pasif Detay'!"&amp;ADDRESS(IFERROR(MATCH(VLOOKUP($E$3,$BC$3:$BE$140,2,0),'Pasif Detay'!$B:$B,0),MATCH(9003,'Pasif Detay'!$B:$B,0)+1),MATCH(D43,'Pasif Detay'!$5:$5,0)))</f>
        <v>13006005102.795052</v>
      </c>
      <c r="BC43" s="56" t="s">
        <v>130</v>
      </c>
      <c r="BD43" s="56">
        <v>1055</v>
      </c>
    </row>
    <row r="44" spans="1:56">
      <c r="A44" s="20"/>
      <c r="B44" s="18" t="s">
        <v>131</v>
      </c>
      <c r="C44" s="19">
        <f ca="1">SUM(C45:C51)</f>
        <v>13845074806.700003</v>
      </c>
      <c r="D44" s="23">
        <v>361</v>
      </c>
      <c r="E44" s="21" t="s">
        <v>132</v>
      </c>
      <c r="F44" s="22">
        <f ca="1">INDIRECT("'Pasif Detay'!"&amp;ADDRESS(IFERROR(MATCH(VLOOKUP($E$3,$BC$3:$BE$140,2,0),'Pasif Detay'!$B:$B,0),MATCH(9003,'Pasif Detay'!$B:$B,0)+1),MATCH(D44,'Pasif Detay'!$5:$5,0)))</f>
        <v>1730111231.6800017</v>
      </c>
      <c r="BC44" s="56" t="s">
        <v>133</v>
      </c>
      <c r="BD44" s="56">
        <v>1056</v>
      </c>
    </row>
    <row r="45" spans="1:56">
      <c r="A45" s="20">
        <v>141</v>
      </c>
      <c r="B45" s="21" t="s">
        <v>134</v>
      </c>
      <c r="C45" s="22">
        <f ca="1">INDIRECT("'Aktif Detay'!"&amp;ADDRESS(IFERROR(MATCH(VLOOKUP($E$3,$BC$3:$BE$140,2,0),'Aktif Detay'!$B:$B,0),MATCH(9003,'Aktif Detay'!$B:$B,0)+1),MATCH(A45,'Aktif Detay'!$5:$5,0)))</f>
        <v>0</v>
      </c>
      <c r="D45" s="23">
        <v>362</v>
      </c>
      <c r="E45" s="21" t="s">
        <v>135</v>
      </c>
      <c r="F45" s="22">
        <f ca="1">INDIRECT("'Pasif Detay'!"&amp;ADDRESS(IFERROR(MATCH(VLOOKUP($E$3,$BC$3:$BE$140,2,0),'Pasif Detay'!$B:$B,0),MATCH(9003,'Pasif Detay'!$B:$B,0)+1),MATCH(D45,'Pasif Detay'!$5:$5,0)))</f>
        <v>0</v>
      </c>
      <c r="BC45" s="56" t="s">
        <v>136</v>
      </c>
      <c r="BD45" s="56">
        <v>1057</v>
      </c>
    </row>
    <row r="46" spans="1:56">
      <c r="A46" s="20">
        <v>142</v>
      </c>
      <c r="B46" s="21" t="s">
        <v>137</v>
      </c>
      <c r="C46" s="22">
        <f ca="1">INDIRECT("'Aktif Detay'!"&amp;ADDRESS(IFERROR(MATCH(VLOOKUP($E$3,$BC$3:$BE$140,2,0),'Aktif Detay'!$B:$B,0),MATCH(9003,'Aktif Detay'!$B:$B,0)+1),MATCH(A46,'Aktif Detay'!$5:$5,0)))</f>
        <v>0</v>
      </c>
      <c r="D46" s="23">
        <v>363</v>
      </c>
      <c r="E46" s="21" t="s">
        <v>138</v>
      </c>
      <c r="F46" s="22">
        <f ca="1">INDIRECT("'Pasif Detay'!"&amp;ADDRESS(IFERROR(MATCH(VLOOKUP($E$3,$BC$3:$BE$140,2,0),'Pasif Detay'!$B:$B,0),MATCH(9003,'Pasif Detay'!$B:$B,0)+1),MATCH(D46,'Pasif Detay'!$5:$5,0)))</f>
        <v>322386558.35000002</v>
      </c>
      <c r="BC46" s="56" t="s">
        <v>139</v>
      </c>
      <c r="BD46" s="56">
        <v>1058</v>
      </c>
    </row>
    <row r="47" spans="1:56">
      <c r="A47" s="20">
        <v>145</v>
      </c>
      <c r="B47" s="21" t="s">
        <v>140</v>
      </c>
      <c r="C47" s="22">
        <f ca="1">INDIRECT("'Aktif Detay'!"&amp;ADDRESS(IFERROR(MATCH(VLOOKUP($E$3,$BC$3:$BE$140,2,0),'Aktif Detay'!$B:$B,0),MATCH(9003,'Aktif Detay'!$B:$B,0)+1),MATCH(A47,'Aktif Detay'!$5:$5,0)))</f>
        <v>1182534410.27</v>
      </c>
      <c r="D47" s="23">
        <v>364</v>
      </c>
      <c r="E47" s="21" t="s">
        <v>141</v>
      </c>
      <c r="F47" s="22">
        <f ca="1">INDIRECT("'Pasif Detay'!"&amp;ADDRESS(IFERROR(MATCH(VLOOKUP($E$3,$BC$3:$BE$140,2,0),'Pasif Detay'!$B:$B,0),MATCH(9003,'Pasif Detay'!$B:$B,0)+1),MATCH(D47,'Pasif Detay'!$5:$5,0)))</f>
        <v>41646946296.669998</v>
      </c>
      <c r="BC47" s="56" t="s">
        <v>142</v>
      </c>
      <c r="BD47" s="56">
        <v>1059</v>
      </c>
    </row>
    <row r="48" spans="1:56">
      <c r="A48" s="20">
        <v>146</v>
      </c>
      <c r="B48" s="21" t="s">
        <v>143</v>
      </c>
      <c r="C48" s="22">
        <f ca="1">INDIRECT("'Aktif Detay'!"&amp;ADDRESS(IFERROR(MATCH(VLOOKUP($E$3,$BC$3:$BE$140,2,0),'Aktif Detay'!$B:$B,0),MATCH(9003,'Aktif Detay'!$B:$B,0)+1),MATCH(A48,'Aktif Detay'!$5:$5,0)))</f>
        <v>13005342764.150002</v>
      </c>
      <c r="D48" s="23">
        <v>365</v>
      </c>
      <c r="E48" s="21" t="s">
        <v>144</v>
      </c>
      <c r="F48" s="22">
        <f ca="1">INDIRECT("'Pasif Detay'!"&amp;ADDRESS(IFERROR(MATCH(VLOOKUP($E$3,$BC$3:$BE$140,2,0),'Pasif Detay'!$B:$B,0),MATCH(9003,'Pasif Detay'!$B:$B,0)+1),MATCH(D48,'Pasif Detay'!$5:$5,0)))</f>
        <v>-22963906189.919998</v>
      </c>
      <c r="BC48" s="56" t="s">
        <v>145</v>
      </c>
      <c r="BD48" s="56">
        <v>1060</v>
      </c>
    </row>
    <row r="49" spans="1:56">
      <c r="A49" s="20">
        <v>147</v>
      </c>
      <c r="B49" s="21" t="s">
        <v>146</v>
      </c>
      <c r="C49" s="22">
        <f ca="1">INDIRECT("'Aktif Detay'!"&amp;ADDRESS(IFERROR(MATCH(VLOOKUP($E$3,$BC$3:$BE$140,2,0),'Aktif Detay'!$B:$B,0),MATCH(9003,'Aktif Detay'!$B:$B,0)+1),MATCH(A49,'Aktif Detay'!$5:$5,0)))</f>
        <v>-368653027.77999997</v>
      </c>
      <c r="D49" s="23">
        <v>369</v>
      </c>
      <c r="E49" s="21" t="s">
        <v>147</v>
      </c>
      <c r="F49" s="22">
        <f ca="1">INDIRECT("'Pasif Detay'!"&amp;ADDRESS(IFERROR(MATCH(VLOOKUP($E$3,$BC$3:$BE$140,2,0),'Pasif Detay'!$B:$B,0),MATCH(9003,'Pasif Detay'!$B:$B,0)+1),MATCH(D49,'Pasif Detay'!$5:$5,0)))</f>
        <v>2727126.65</v>
      </c>
      <c r="BC49" s="56" t="s">
        <v>148</v>
      </c>
      <c r="BD49" s="56">
        <v>1061</v>
      </c>
    </row>
    <row r="50" spans="1:56">
      <c r="A50" s="20">
        <v>148</v>
      </c>
      <c r="B50" s="21" t="s">
        <v>149</v>
      </c>
      <c r="C50" s="22">
        <f ca="1">INDIRECT("'Aktif Detay'!"&amp;ADDRESS(IFERROR(MATCH(VLOOKUP($E$3,$BC$3:$BE$140,2,0),'Aktif Detay'!$B:$B,0),MATCH(9003,'Aktif Detay'!$B:$B,0)+1),MATCH(A50,'Aktif Detay'!$5:$5,0)))</f>
        <v>118968887.19999999</v>
      </c>
      <c r="D50" s="23"/>
      <c r="E50" s="18" t="s">
        <v>150</v>
      </c>
      <c r="F50" s="19">
        <f ca="1">SUM(F51:F53)</f>
        <v>20322602299.919998</v>
      </c>
      <c r="BC50" s="56" t="s">
        <v>1</v>
      </c>
      <c r="BD50" s="56">
        <v>2001</v>
      </c>
    </row>
    <row r="51" spans="1:56">
      <c r="A51" s="20">
        <v>149</v>
      </c>
      <c r="B51" s="21" t="s">
        <v>151</v>
      </c>
      <c r="C51" s="22">
        <f ca="1">INDIRECT("'Aktif Detay'!"&amp;ADDRESS(IFERROR(MATCH(VLOOKUP($E$3,$BC$3:$BE$140,2,0),'Aktif Detay'!$B:$B,0),MATCH(9003,'Aktif Detay'!$B:$B,0)+1),MATCH(A51,'Aktif Detay'!$5:$5,0)))</f>
        <v>-93118227.140000001</v>
      </c>
      <c r="D51" s="23">
        <v>371</v>
      </c>
      <c r="E51" s="21" t="s">
        <v>152</v>
      </c>
      <c r="F51" s="22">
        <f ca="1">INDIRECT("'Pasif Detay'!"&amp;ADDRESS(IFERROR(MATCH(VLOOKUP($E$3,$BC$3:$BE$140,2,0),'Pasif Detay'!$B:$B,0),MATCH(9003,'Pasif Detay'!$B:$B,0)+1),MATCH(D51,'Pasif Detay'!$5:$5,0)))</f>
        <v>168578035.56999999</v>
      </c>
      <c r="BC51" s="56" t="s">
        <v>153</v>
      </c>
      <c r="BD51" s="56">
        <v>2002</v>
      </c>
    </row>
    <row r="52" spans="1:56">
      <c r="A52" s="15"/>
      <c r="B52" s="18" t="s">
        <v>154</v>
      </c>
      <c r="C52" s="19">
        <f ca="1">SUM(C53:C56)</f>
        <v>138791202126.88461</v>
      </c>
      <c r="D52" s="23">
        <v>372</v>
      </c>
      <c r="E52" s="21" t="s">
        <v>155</v>
      </c>
      <c r="F52" s="22">
        <f ca="1">INDIRECT("'Pasif Detay'!"&amp;ADDRESS(IFERROR(MATCH(VLOOKUP($E$3,$BC$3:$BE$140,2,0),'Pasif Detay'!$B:$B,0),MATCH(9003,'Pasif Detay'!$B:$B,0)+1),MATCH(D52,'Pasif Detay'!$5:$5,0)))</f>
        <v>0</v>
      </c>
      <c r="BC52" s="56" t="s">
        <v>4</v>
      </c>
      <c r="BD52" s="56">
        <v>2005</v>
      </c>
    </row>
    <row r="53" spans="1:56">
      <c r="A53" s="20">
        <v>180</v>
      </c>
      <c r="B53" s="21" t="s">
        <v>156</v>
      </c>
      <c r="C53" s="22">
        <f ca="1">INDIRECT("'Aktif Detay'!"&amp;ADDRESS(IFERROR(MATCH(VLOOKUP($E$3,$BC$3:$BE$140,2,0),'Aktif Detay'!$B:$B,0),MATCH(9003,'Aktif Detay'!$B:$B,0)+1),MATCH(A53,'Aktif Detay'!$5:$5,0)))</f>
        <v>119376752350.08011</v>
      </c>
      <c r="D53" s="23">
        <v>373</v>
      </c>
      <c r="E53" s="21" t="s">
        <v>157</v>
      </c>
      <c r="F53" s="22">
        <f ca="1">INDIRECT("'Pasif Detay'!"&amp;ADDRESS(IFERROR(MATCH(VLOOKUP($E$3,$BC$3:$BE$140,2,0),'Pasif Detay'!$B:$B,0),MATCH(9003,'Pasif Detay'!$B:$B,0)+1),MATCH(D53,'Pasif Detay'!$5:$5,0)))</f>
        <v>20154024264.349998</v>
      </c>
      <c r="BC53" s="56" t="s">
        <v>11</v>
      </c>
      <c r="BD53" s="56">
        <v>2006</v>
      </c>
    </row>
    <row r="54" spans="1:56">
      <c r="A54" s="20">
        <v>181</v>
      </c>
      <c r="B54" s="21" t="s">
        <v>158</v>
      </c>
      <c r="C54" s="22">
        <f ca="1">INDIRECT("'Aktif Detay'!"&amp;ADDRESS(IFERROR(MATCH(VLOOKUP($E$3,$BC$3:$BE$140,2,0),'Aktif Detay'!$B:$B,0),MATCH(9003,'Aktif Detay'!$B:$B,0)+1),MATCH(A54,'Aktif Detay'!$5:$5,0)))</f>
        <v>38277757.57</v>
      </c>
      <c r="D54" s="23"/>
      <c r="E54" s="18" t="s">
        <v>159</v>
      </c>
      <c r="F54" s="19">
        <f ca="1">SUM(F55:F57)</f>
        <v>17673030392.23999</v>
      </c>
      <c r="BC54" s="56" t="s">
        <v>160</v>
      </c>
      <c r="BD54" s="56">
        <v>2007</v>
      </c>
    </row>
    <row r="55" spans="1:56">
      <c r="A55" s="15">
        <v>183</v>
      </c>
      <c r="B55" s="21" t="s">
        <v>161</v>
      </c>
      <c r="C55" s="22">
        <f ca="1">INDIRECT("'Aktif Detay'!"&amp;ADDRESS(IFERROR(MATCH(VLOOKUP($E$3,$BC$3:$BE$140,2,0),'Aktif Detay'!$B:$B,0),MATCH(9003,'Aktif Detay'!$B:$B,0)+1),MATCH(A55,'Aktif Detay'!$5:$5,0)))</f>
        <v>2489873691.3900003</v>
      </c>
      <c r="D55" s="23">
        <v>380</v>
      </c>
      <c r="E55" s="21" t="s">
        <v>162</v>
      </c>
      <c r="F55" s="22">
        <f ca="1">INDIRECT("'Pasif Detay'!"&amp;ADDRESS(IFERROR(MATCH(VLOOKUP($E$3,$BC$3:$BE$140,2,0),'Pasif Detay'!$B:$B,0),MATCH(9003,'Pasif Detay'!$B:$B,0)+1),MATCH(D55,'Pasif Detay'!$5:$5,0)))</f>
        <v>23665786172.519997</v>
      </c>
      <c r="BC55" s="56" t="s">
        <v>163</v>
      </c>
      <c r="BD55" s="56">
        <v>2008</v>
      </c>
    </row>
    <row r="56" spans="1:56">
      <c r="A56" s="20">
        <v>189</v>
      </c>
      <c r="B56" s="21" t="s">
        <v>164</v>
      </c>
      <c r="C56" s="22">
        <f ca="1">INDIRECT("'Aktif Detay'!"&amp;ADDRESS(IFERROR(MATCH(VLOOKUP($E$3,$BC$3:$BE$140,2,0),'Aktif Detay'!$B:$B,0),MATCH(9003,'Aktif Detay'!$B:$B,0)+1),MATCH(A56,'Aktif Detay'!$5:$5,0)))</f>
        <v>16886298327.844496</v>
      </c>
      <c r="D56" s="23">
        <v>383</v>
      </c>
      <c r="E56" s="21" t="s">
        <v>165</v>
      </c>
      <c r="F56" s="22">
        <f ca="1">INDIRECT("'Pasif Detay'!"&amp;ADDRESS(IFERROR(MATCH(VLOOKUP($E$3,$BC$3:$BE$140,2,0),'Pasif Detay'!$B:$B,0),MATCH(9003,'Pasif Detay'!$B:$B,0)+1),MATCH(D56,'Pasif Detay'!$5:$5,0)))</f>
        <v>4392076757.4299927</v>
      </c>
      <c r="BC56" s="56" t="s">
        <v>2</v>
      </c>
      <c r="BD56" s="56">
        <v>3001</v>
      </c>
    </row>
    <row r="57" spans="1:56">
      <c r="A57" s="20"/>
      <c r="B57" s="18" t="s">
        <v>166</v>
      </c>
      <c r="C57" s="19">
        <f ca="1">SUM(C58:C65)</f>
        <v>11289809358.59001</v>
      </c>
      <c r="D57" s="23">
        <v>384</v>
      </c>
      <c r="E57" s="21" t="s">
        <v>167</v>
      </c>
      <c r="F57" s="22">
        <f ca="1">INDIRECT("'Pasif Detay'!"&amp;ADDRESS(IFERROR(MATCH(VLOOKUP($E$3,$BC$3:$BE$140,2,0),'Pasif Detay'!$B:$B,0),MATCH(9003,'Pasif Detay'!$B:$B,0)+1),MATCH(D57,'Pasif Detay'!$5:$5,0)))</f>
        <v>-10384832537.710001</v>
      </c>
      <c r="BC57" s="56" t="s">
        <v>168</v>
      </c>
      <c r="BD57" s="56">
        <v>3002</v>
      </c>
    </row>
    <row r="58" spans="1:56">
      <c r="A58" s="15">
        <v>192</v>
      </c>
      <c r="B58" s="21" t="s">
        <v>169</v>
      </c>
      <c r="C58" s="22">
        <f ca="1">INDIRECT("'Aktif Detay'!"&amp;ADDRESS(IFERROR(MATCH(VLOOKUP($E$3,$BC$3:$BE$140,2,0),'Aktif Detay'!$B:$B,0),MATCH(9003,'Aktif Detay'!$B:$B,0)+1),MATCH(A58,'Aktif Detay'!$5:$5,0)))</f>
        <v>108601518.91999999</v>
      </c>
      <c r="D58" s="23"/>
      <c r="E58" s="18" t="s">
        <v>170</v>
      </c>
      <c r="F58" s="19">
        <f ca="1">SUM(F59:F61)</f>
        <v>1152206834.9183874</v>
      </c>
      <c r="BC58" s="56" t="s">
        <v>171</v>
      </c>
      <c r="BD58" s="56">
        <v>3003</v>
      </c>
    </row>
    <row r="59" spans="1:56" ht="13.5" thickBot="1">
      <c r="A59" s="25">
        <v>193</v>
      </c>
      <c r="B59" s="21" t="s">
        <v>172</v>
      </c>
      <c r="C59" s="22">
        <f ca="1">INDIRECT("'Aktif Detay'!"&amp;ADDRESS(IFERROR(MATCH(VLOOKUP($E$3,$BC$3:$BE$140,2,0),'Aktif Detay'!$B:$B,0),MATCH(9003,'Aktif Detay'!$B:$B,0)+1),MATCH(A59,'Aktif Detay'!$5:$5,0)))</f>
        <v>8128618722.21</v>
      </c>
      <c r="D59" s="23">
        <v>394</v>
      </c>
      <c r="E59" s="21" t="s">
        <v>173</v>
      </c>
      <c r="F59" s="22">
        <f ca="1">INDIRECT("'Pasif Detay'!"&amp;ADDRESS(IFERROR(MATCH(VLOOKUP($E$3,$BC$3:$BE$140,2,0),'Pasif Detay'!$B:$B,0),MATCH(9003,'Pasif Detay'!$B:$B,0)+1),MATCH(D59,'Pasif Detay'!$5:$5,0)))</f>
        <v>418959622.45999998</v>
      </c>
      <c r="BC59" s="56" t="s">
        <v>174</v>
      </c>
      <c r="BD59" s="56">
        <v>3004</v>
      </c>
    </row>
    <row r="60" spans="1:56">
      <c r="A60" s="15">
        <v>194</v>
      </c>
      <c r="B60" s="21" t="s">
        <v>175</v>
      </c>
      <c r="C60" s="22">
        <f ca="1">INDIRECT("'Aktif Detay'!"&amp;ADDRESS(IFERROR(MATCH(VLOOKUP($E$3,$BC$3:$BE$140,2,0),'Aktif Detay'!$B:$B,0),MATCH(9003,'Aktif Detay'!$B:$B,0)+1),MATCH(A60,'Aktif Detay'!$5:$5,0)))</f>
        <v>0.05</v>
      </c>
      <c r="D60" s="23">
        <v>397</v>
      </c>
      <c r="E60" s="21" t="s">
        <v>176</v>
      </c>
      <c r="F60" s="22">
        <f ca="1">INDIRECT("'Pasif Detay'!"&amp;ADDRESS(IFERROR(MATCH(VLOOKUP($E$3,$BC$3:$BE$140,2,0),'Pasif Detay'!$B:$B,0),MATCH(9003,'Pasif Detay'!$B:$B,0)+1),MATCH(D60,'Pasif Detay'!$5:$5,0)))</f>
        <v>4.3600000000001273</v>
      </c>
      <c r="BC60" s="56" t="s">
        <v>16</v>
      </c>
      <c r="BD60" s="56">
        <v>3005</v>
      </c>
    </row>
    <row r="61" spans="1:56">
      <c r="A61" s="15">
        <v>195</v>
      </c>
      <c r="B61" s="21" t="s">
        <v>177</v>
      </c>
      <c r="C61" s="22">
        <f ca="1">INDIRECT("'Aktif Detay'!"&amp;ADDRESS(IFERROR(MATCH(VLOOKUP($E$3,$BC$3:$BE$140,2,0),'Aktif Detay'!$B:$B,0),MATCH(9003,'Aktif Detay'!$B:$B,0)+1),MATCH(A61,'Aktif Detay'!$5:$5,0)))</f>
        <v>2559637042.4800005</v>
      </c>
      <c r="D61" s="23">
        <v>399</v>
      </c>
      <c r="E61" s="21" t="s">
        <v>178</v>
      </c>
      <c r="F61" s="22">
        <f ca="1">INDIRECT("'Pasif Detay'!"&amp;ADDRESS(IFERROR(MATCH(VLOOKUP($E$3,$BC$3:$BE$140,2,0),'Pasif Detay'!$B:$B,0),MATCH(9003,'Pasif Detay'!$B:$B,0)+1),MATCH(D61,'Pasif Detay'!$5:$5,0)))</f>
        <v>733247208.09838736</v>
      </c>
      <c r="BC61" s="56" t="s">
        <v>179</v>
      </c>
      <c r="BD61" s="56">
        <v>3006</v>
      </c>
    </row>
    <row r="62" spans="1:56">
      <c r="A62" s="20">
        <v>196</v>
      </c>
      <c r="B62" s="21" t="s">
        <v>180</v>
      </c>
      <c r="C62" s="22">
        <f ca="1">INDIRECT("'Aktif Detay'!"&amp;ADDRESS(IFERROR(MATCH(VLOOKUP($E$3,$BC$3:$BE$140,2,0),'Aktif Detay'!$B:$B,0),MATCH(9003,'Aktif Detay'!$B:$B,0)+1),MATCH(A62,'Aktif Detay'!$5:$5,0)))</f>
        <v>321103384.29999995</v>
      </c>
      <c r="D62" s="23"/>
      <c r="E62" s="16" t="s">
        <v>181</v>
      </c>
      <c r="F62" s="17">
        <f ca="1">+F63+F71+F78+F85+F90+F97+F101+F104+F108</f>
        <v>2215194619941.6636</v>
      </c>
      <c r="BC62" s="56" t="s">
        <v>182</v>
      </c>
      <c r="BD62" s="56">
        <v>3007</v>
      </c>
    </row>
    <row r="63" spans="1:56">
      <c r="A63" s="20">
        <v>197</v>
      </c>
      <c r="B63" s="21" t="s">
        <v>183</v>
      </c>
      <c r="C63" s="22">
        <f ca="1">INDIRECT("'Aktif Detay'!"&amp;ADDRESS(IFERROR(MATCH(VLOOKUP($E$3,$BC$3:$BE$140,2,0),'Aktif Detay'!$B:$B,0),MATCH(9003,'Aktif Detay'!$B:$B,0)+1),MATCH(A63,'Aktif Detay'!$5:$5,0)))</f>
        <v>27311.27</v>
      </c>
      <c r="D63" s="23"/>
      <c r="E63" s="18" t="s">
        <v>33</v>
      </c>
      <c r="F63" s="19">
        <f ca="1">SUM(F64:F70)</f>
        <v>3031609996.2300005</v>
      </c>
      <c r="BC63" s="56" t="s">
        <v>184</v>
      </c>
      <c r="BD63" s="56">
        <v>3008</v>
      </c>
    </row>
    <row r="64" spans="1:56">
      <c r="A64" s="15">
        <v>198</v>
      </c>
      <c r="B64" s="21" t="s">
        <v>185</v>
      </c>
      <c r="C64" s="22">
        <f ca="1">INDIRECT("'Aktif Detay'!"&amp;ADDRESS(IFERROR(MATCH(VLOOKUP($E$3,$BC$3:$BE$140,2,0),'Aktif Detay'!$B:$B,0),MATCH(9003,'Aktif Detay'!$B:$B,0)+1),MATCH(A64,'Aktif Detay'!$5:$5,0)))</f>
        <v>189452863.49000993</v>
      </c>
      <c r="D64" s="23">
        <v>400</v>
      </c>
      <c r="E64" s="21" t="s">
        <v>36</v>
      </c>
      <c r="F64" s="22">
        <f ca="1">INDIRECT("'Pasif Detay'!"&amp;ADDRESS(IFERROR(MATCH(VLOOKUP($E$3,$BC$3:$BE$140,2,0),'Pasif Detay'!$B:$B,0),MATCH(9003,'Pasif Detay'!$B:$B,0)+1),MATCH(D64,'Pasif Detay'!$5:$5,0)))</f>
        <v>0</v>
      </c>
      <c r="BC64" s="56" t="s">
        <v>186</v>
      </c>
      <c r="BD64" s="56">
        <v>3009</v>
      </c>
    </row>
    <row r="65" spans="1:56">
      <c r="A65" s="20">
        <v>199</v>
      </c>
      <c r="B65" s="21" t="s">
        <v>187</v>
      </c>
      <c r="C65" s="22">
        <f ca="1">INDIRECT("'Aktif Detay'!"&amp;ADDRESS(IFERROR(MATCH(VLOOKUP($E$3,$BC$3:$BE$140,2,0),'Aktif Detay'!$B:$B,0),MATCH(9003,'Aktif Detay'!$B:$B,0)+1),MATCH(A65,'Aktif Detay'!$5:$5,0)))</f>
        <v>-17631484.129999999</v>
      </c>
      <c r="D65" s="23">
        <v>401</v>
      </c>
      <c r="E65" s="21" t="s">
        <v>39</v>
      </c>
      <c r="F65" s="22">
        <f ca="1">INDIRECT("'Pasif Detay'!"&amp;ADDRESS(IFERROR(MATCH(VLOOKUP($E$3,$BC$3:$BE$140,2,0),'Pasif Detay'!$B:$B,0),MATCH(9003,'Pasif Detay'!$B:$B,0)+1),MATCH(D65,'Pasif Detay'!$5:$5,0)))</f>
        <v>3723276301.3600001</v>
      </c>
      <c r="BC65" s="56" t="s">
        <v>188</v>
      </c>
      <c r="BD65" s="56">
        <v>3011</v>
      </c>
    </row>
    <row r="66" spans="1:56">
      <c r="A66" s="20"/>
      <c r="B66" s="16" t="s">
        <v>189</v>
      </c>
      <c r="C66" s="17">
        <f ca="1">+C67+C78+C88+C96+C107+C118+C126+C130</f>
        <v>2136274224854.978</v>
      </c>
      <c r="D66" s="23">
        <v>402</v>
      </c>
      <c r="E66" s="21" t="s">
        <v>190</v>
      </c>
      <c r="F66" s="22">
        <f ca="1">INDIRECT("'Pasif Detay'!"&amp;ADDRESS(IFERROR(MATCH(VLOOKUP($E$3,$BC$3:$BE$140,2,0),'Pasif Detay'!$B:$B,0),MATCH(9003,'Pasif Detay'!$B:$B,0)+1),MATCH(D66,'Pasif Detay'!$5:$5,0)))</f>
        <v>-891101421.69999981</v>
      </c>
      <c r="BC66" s="56" t="s">
        <v>191</v>
      </c>
      <c r="BD66" s="56">
        <v>3012</v>
      </c>
    </row>
    <row r="67" spans="1:56">
      <c r="A67" s="15"/>
      <c r="B67" s="18" t="s">
        <v>192</v>
      </c>
      <c r="C67" s="19">
        <f ca="1">SUM(C68:C77)</f>
        <v>2003023795465.7178</v>
      </c>
      <c r="D67" s="23">
        <v>404</v>
      </c>
      <c r="E67" s="21" t="s">
        <v>193</v>
      </c>
      <c r="F67" s="22">
        <f ca="1">INDIRECT("'Pasif Detay'!"&amp;ADDRESS(IFERROR(MATCH(VLOOKUP($E$3,$BC$3:$BE$140,2,0),'Pasif Detay'!$B:$B,0),MATCH(9003,'Pasif Detay'!$B:$B,0)+1),MATCH(D67,'Pasif Detay'!$5:$5,0)))</f>
        <v>0</v>
      </c>
      <c r="BC67" s="56" t="s">
        <v>194</v>
      </c>
      <c r="BD67" s="56">
        <v>3016</v>
      </c>
    </row>
    <row r="68" spans="1:56">
      <c r="A68" s="20">
        <v>220</v>
      </c>
      <c r="B68" s="21" t="s">
        <v>195</v>
      </c>
      <c r="C68" s="22">
        <f ca="1">INDIRECT("'Aktif Detay'!"&amp;ADDRESS(IFERROR(MATCH(VLOOKUP($E$3,$BC$3:$BE$140,2,0),'Aktif Detay'!$B:$B,0),MATCH(9003,'Aktif Detay'!$B:$B,0)+1),MATCH(A68,'Aktif Detay'!$5:$5,0)))</f>
        <v>632942600.93771088</v>
      </c>
      <c r="D68" s="23">
        <v>407</v>
      </c>
      <c r="E68" s="21" t="s">
        <v>196</v>
      </c>
      <c r="F68" s="22">
        <f ca="1">INDIRECT("'Pasif Detay'!"&amp;ADDRESS(IFERROR(MATCH(VLOOKUP($E$3,$BC$3:$BE$140,2,0),'Pasif Detay'!$B:$B,0),MATCH(9003,'Pasif Detay'!$B:$B,0)+1),MATCH(D68,'Pasif Detay'!$5:$5,0)))</f>
        <v>0</v>
      </c>
      <c r="BC68" s="56" t="s">
        <v>197</v>
      </c>
      <c r="BD68" s="56">
        <v>3017</v>
      </c>
    </row>
    <row r="69" spans="1:56">
      <c r="A69" s="20">
        <v>221</v>
      </c>
      <c r="B69" s="21" t="s">
        <v>79</v>
      </c>
      <c r="C69" s="22">
        <f ca="1">INDIRECT("'Aktif Detay'!"&amp;ADDRESS(IFERROR(MATCH(VLOOKUP($E$3,$BC$3:$BE$140,2,0),'Aktif Detay'!$B:$B,0),MATCH(9003,'Aktif Detay'!$B:$B,0)+1),MATCH(A69,'Aktif Detay'!$5:$5,0)))</f>
        <v>0</v>
      </c>
      <c r="D69" s="23">
        <v>408</v>
      </c>
      <c r="E69" s="21" t="s">
        <v>198</v>
      </c>
      <c r="F69" s="22">
        <f ca="1">INDIRECT("'Pasif Detay'!"&amp;ADDRESS(IFERROR(MATCH(VLOOKUP($E$3,$BC$3:$BE$140,2,0),'Pasif Detay'!$B:$B,0),MATCH(9003,'Pasif Detay'!$B:$B,0)+1),MATCH(D69,'Pasif Detay'!$5:$5,0)))</f>
        <v>0</v>
      </c>
      <c r="BC69" s="56" t="s">
        <v>14</v>
      </c>
      <c r="BD69" s="56">
        <v>3018</v>
      </c>
    </row>
    <row r="70" spans="1:56">
      <c r="A70" s="15">
        <v>222</v>
      </c>
      <c r="B70" s="21" t="s">
        <v>82</v>
      </c>
      <c r="C70" s="22">
        <f ca="1">INDIRECT("'Aktif Detay'!"&amp;ADDRESS(IFERROR(MATCH(VLOOKUP($E$3,$BC$3:$BE$140,2,0),'Aktif Detay'!$B:$B,0),MATCH(9003,'Aktif Detay'!$B:$B,0)+1),MATCH(A70,'Aktif Detay'!$5:$5,0)))</f>
        <v>0</v>
      </c>
      <c r="D70" s="23">
        <v>409</v>
      </c>
      <c r="E70" s="21" t="s">
        <v>199</v>
      </c>
      <c r="F70" s="22">
        <f ca="1">INDIRECT("'Pasif Detay'!"&amp;ADDRESS(IFERROR(MATCH(VLOOKUP($E$3,$BC$3:$BE$140,2,0),'Pasif Detay'!$B:$B,0),MATCH(9003,'Pasif Detay'!$B:$B,0)+1),MATCH(D70,'Pasif Detay'!$5:$5,0)))</f>
        <v>199435116.57000002</v>
      </c>
      <c r="BC70" s="56" t="s">
        <v>200</v>
      </c>
      <c r="BD70" s="56">
        <v>4002</v>
      </c>
    </row>
    <row r="71" spans="1:56">
      <c r="A71" s="20">
        <v>223</v>
      </c>
      <c r="B71" s="21" t="s">
        <v>84</v>
      </c>
      <c r="C71" s="22">
        <f ca="1">INDIRECT("'Aktif Detay'!"&amp;ADDRESS(IFERROR(MATCH(VLOOKUP($E$3,$BC$3:$BE$140,2,0),'Aktif Detay'!$B:$B,0),MATCH(9003,'Aktif Detay'!$B:$B,0)+1),MATCH(A71,'Aktif Detay'!$5:$5,0)))</f>
        <v>0</v>
      </c>
      <c r="D71" s="23"/>
      <c r="E71" s="18" t="s">
        <v>58</v>
      </c>
      <c r="F71" s="19">
        <f ca="1">SUM(F72:F77)</f>
        <v>2001816308961.9998</v>
      </c>
      <c r="BC71" s="56" t="s">
        <v>201</v>
      </c>
      <c r="BD71" s="56">
        <v>4003</v>
      </c>
    </row>
    <row r="72" spans="1:56">
      <c r="A72" s="20">
        <v>224</v>
      </c>
      <c r="B72" s="21" t="s">
        <v>202</v>
      </c>
      <c r="C72" s="22">
        <f ca="1">INDIRECT("'Aktif Detay'!"&amp;ADDRESS(IFERROR(MATCH(VLOOKUP($E$3,$BC$3:$BE$140,2,0),'Aktif Detay'!$B:$B,0),MATCH(9003,'Aktif Detay'!$B:$B,0)+1),MATCH(A72,'Aktif Detay'!$5:$5,0)))</f>
        <v>0</v>
      </c>
      <c r="D72" s="23">
        <v>420</v>
      </c>
      <c r="E72" s="21" t="s">
        <v>61</v>
      </c>
      <c r="F72" s="22">
        <f ca="1">INDIRECT("'Pasif Detay'!"&amp;ADDRESS(IFERROR(MATCH(VLOOKUP($E$3,$BC$3:$BE$140,2,0),'Pasif Detay'!$B:$B,0),MATCH(9003,'Pasif Detay'!$B:$B,0)+1),MATCH(D72,'Pasif Detay'!$5:$5,0)))</f>
        <v>143177491.91000003</v>
      </c>
      <c r="BC72" s="56" t="s">
        <v>203</v>
      </c>
      <c r="BD72" s="56">
        <v>4004</v>
      </c>
    </row>
    <row r="73" spans="1:56">
      <c r="A73" s="15">
        <v>225</v>
      </c>
      <c r="B73" s="21" t="s">
        <v>88</v>
      </c>
      <c r="C73" s="22">
        <f ca="1">INDIRECT("'Aktif Detay'!"&amp;ADDRESS(IFERROR(MATCH(VLOOKUP($E$3,$BC$3:$BE$140,2,0),'Aktif Detay'!$B:$B,0),MATCH(9003,'Aktif Detay'!$B:$B,0)+1),MATCH(A73,'Aktif Detay'!$5:$5,0)))</f>
        <v>838855858.51999998</v>
      </c>
      <c r="D73" s="23">
        <v>422</v>
      </c>
      <c r="E73" s="21" t="s">
        <v>63</v>
      </c>
      <c r="F73" s="22">
        <f ca="1">INDIRECT("'Pasif Detay'!"&amp;ADDRESS(IFERROR(MATCH(VLOOKUP($E$3,$BC$3:$BE$140,2,0),'Pasif Detay'!$B:$B,0),MATCH(9003,'Pasif Detay'!$B:$B,0)+1),MATCH(D73,'Pasif Detay'!$5:$5,0)))</f>
        <v>0</v>
      </c>
      <c r="BC73" s="56" t="s">
        <v>204</v>
      </c>
      <c r="BD73" s="56">
        <v>4005</v>
      </c>
    </row>
    <row r="74" spans="1:56">
      <c r="A74" s="20">
        <v>226</v>
      </c>
      <c r="B74" s="21" t="s">
        <v>90</v>
      </c>
      <c r="C74" s="22">
        <f ca="1">INDIRECT("'Aktif Detay'!"&amp;ADDRESS(IFERROR(MATCH(VLOOKUP($E$3,$BC$3:$BE$140,2,0),'Aktif Detay'!$B:$B,0),MATCH(9003,'Aktif Detay'!$B:$B,0)+1),MATCH(A74,'Aktif Detay'!$5:$5,0)))</f>
        <v>0</v>
      </c>
      <c r="D74" s="23">
        <v>424</v>
      </c>
      <c r="E74" s="21" t="s">
        <v>205</v>
      </c>
      <c r="F74" s="22">
        <f ca="1">INDIRECT("'Pasif Detay'!"&amp;ADDRESS(IFERROR(MATCH(VLOOKUP($E$3,$BC$3:$BE$140,2,0),'Pasif Detay'!$B:$B,0),MATCH(9003,'Pasif Detay'!$B:$B,0)+1),MATCH(D74,'Pasif Detay'!$5:$5,0)))</f>
        <v>121239523.23</v>
      </c>
      <c r="BC74" s="56" t="s">
        <v>19</v>
      </c>
      <c r="BD74" s="56">
        <v>9000</v>
      </c>
    </row>
    <row r="75" spans="1:56">
      <c r="A75" s="20">
        <v>227</v>
      </c>
      <c r="B75" s="21" t="s">
        <v>92</v>
      </c>
      <c r="C75" s="22">
        <f ca="1">INDIRECT("'Aktif Detay'!"&amp;ADDRESS(IFERROR(MATCH(VLOOKUP($E$3,$BC$3:$BE$140,2,0),'Aktif Detay'!$B:$B,0),MATCH(9003,'Aktif Detay'!$B:$B,0)+1),MATCH(A75,'Aktif Detay'!$5:$5,0)))</f>
        <v>2001551891945.99</v>
      </c>
      <c r="D75" s="23">
        <v>427</v>
      </c>
      <c r="E75" s="21" t="s">
        <v>68</v>
      </c>
      <c r="F75" s="22">
        <f ca="1">INDIRECT("'Pasif Detay'!"&amp;ADDRESS(IFERROR(MATCH(VLOOKUP($E$3,$BC$3:$BE$140,2,0),'Pasif Detay'!$B:$B,0),MATCH(9003,'Pasif Detay'!$B:$B,0)+1),MATCH(D75,'Pasif Detay'!$5:$5,0)))</f>
        <v>2001551891946.8599</v>
      </c>
      <c r="BC75" s="56" t="s">
        <v>20</v>
      </c>
      <c r="BD75" s="56">
        <v>9001</v>
      </c>
    </row>
    <row r="76" spans="1:56">
      <c r="A76" s="15">
        <v>228</v>
      </c>
      <c r="B76" s="21" t="s">
        <v>206</v>
      </c>
      <c r="C76" s="22">
        <f ca="1">INDIRECT("'Aktif Detay'!"&amp;ADDRESS(IFERROR(MATCH(VLOOKUP($E$3,$BC$3:$BE$140,2,0),'Aktif Detay'!$B:$B,0),MATCH(9003,'Aktif Detay'!$B:$B,0)+1),MATCH(A76,'Aktif Detay'!$5:$5,0)))</f>
        <v>945348128.22000003</v>
      </c>
      <c r="D76" s="23">
        <v>428</v>
      </c>
      <c r="E76" s="21" t="s">
        <v>70</v>
      </c>
      <c r="F76" s="22">
        <f ca="1">INDIRECT("'Pasif Detay'!"&amp;ADDRESS(IFERROR(MATCH(VLOOKUP($E$3,$BC$3:$BE$140,2,0),'Pasif Detay'!$B:$B,0),MATCH(9003,'Pasif Detay'!$B:$B,0)+1),MATCH(D76,'Pasif Detay'!$5:$5,0)))</f>
        <v>0</v>
      </c>
      <c r="BC76" s="56" t="s">
        <v>21</v>
      </c>
      <c r="BD76" s="56">
        <v>9002</v>
      </c>
    </row>
    <row r="77" spans="1:56">
      <c r="A77" s="15">
        <v>229</v>
      </c>
      <c r="B77" s="21" t="s">
        <v>207</v>
      </c>
      <c r="C77" s="22">
        <f ca="1">INDIRECT("'Aktif Detay'!"&amp;ADDRESS(IFERROR(MATCH(VLOOKUP($E$3,$BC$3:$BE$140,2,0),'Aktif Detay'!$B:$B,0),MATCH(9003,'Aktif Detay'!$B:$B,0)+1),MATCH(A77,'Aktif Detay'!$5:$5,0)))</f>
        <v>-945243067.95000005</v>
      </c>
      <c r="D77" s="23">
        <v>429</v>
      </c>
      <c r="E77" s="21" t="s">
        <v>73</v>
      </c>
      <c r="F77" s="22">
        <f ca="1">INDIRECT("'Pasif Detay'!"&amp;ADDRESS(IFERROR(MATCH(VLOOKUP($E$3,$BC$3:$BE$140,2,0),'Pasif Detay'!$B:$B,0),MATCH(9003,'Pasif Detay'!$B:$B,0)+1),MATCH(D77,'Pasif Detay'!$5:$5,0)))</f>
        <v>0</v>
      </c>
      <c r="BC77" s="56" t="s">
        <v>22</v>
      </c>
      <c r="BD77" s="56">
        <v>9003</v>
      </c>
    </row>
    <row r="78" spans="1:56">
      <c r="A78" s="15"/>
      <c r="B78" s="18" t="s">
        <v>208</v>
      </c>
      <c r="C78" s="19">
        <f ca="1">SUM(C79:C87)</f>
        <v>8044089.8699999973</v>
      </c>
      <c r="D78" s="23"/>
      <c r="E78" s="18" t="s">
        <v>209</v>
      </c>
      <c r="F78" s="19">
        <f ca="1">SUM(F79:F84)</f>
        <v>2833612.98</v>
      </c>
      <c r="H78" s="24"/>
      <c r="BC78" s="56" t="s">
        <v>23</v>
      </c>
    </row>
    <row r="79" spans="1:56">
      <c r="A79" s="15">
        <v>231</v>
      </c>
      <c r="B79" s="21" t="s">
        <v>210</v>
      </c>
      <c r="C79" s="22">
        <f ca="1">INDIRECT("'Aktif Detay'!"&amp;ADDRESS(IFERROR(MATCH(VLOOKUP($E$3,$BC$3:$BE$140,2,0),'Aktif Detay'!$B:$B,0),MATCH(9003,'Aktif Detay'!$B:$B,0)+1),MATCH(A79,'Aktif Detay'!$5:$5,0)))</f>
        <v>8044089.8699999973</v>
      </c>
      <c r="D79" s="23">
        <v>431</v>
      </c>
      <c r="E79" s="21" t="s">
        <v>77</v>
      </c>
      <c r="F79" s="22">
        <f ca="1">INDIRECT("'Pasif Detay'!"&amp;ADDRESS(IFERROR(MATCH(VLOOKUP($E$3,$BC$3:$BE$140,2,0),'Pasif Detay'!$B:$B,0),MATCH(9003,'Pasif Detay'!$B:$B,0)+1),MATCH(D79,'Pasif Detay'!$5:$5,0)))</f>
        <v>2833612.98</v>
      </c>
    </row>
    <row r="80" spans="1:56">
      <c r="A80" s="15">
        <v>232</v>
      </c>
      <c r="B80" s="21" t="s">
        <v>107</v>
      </c>
      <c r="C80" s="22">
        <f ca="1">INDIRECT("'Aktif Detay'!"&amp;ADDRESS(IFERROR(MATCH(VLOOKUP($E$3,$BC$3:$BE$140,2,0),'Aktif Detay'!$B:$B,0),MATCH(9003,'Aktif Detay'!$B:$B,0)+1),MATCH(A80,'Aktif Detay'!$5:$5,0)))</f>
        <v>0</v>
      </c>
      <c r="D80" s="23">
        <v>432</v>
      </c>
      <c r="E80" s="21" t="s">
        <v>80</v>
      </c>
      <c r="F80" s="22">
        <f ca="1">INDIRECT("'Pasif Detay'!"&amp;ADDRESS(IFERROR(MATCH(VLOOKUP($E$3,$BC$3:$BE$140,2,0),'Pasif Detay'!$B:$B,0),MATCH(9003,'Pasif Detay'!$B:$B,0)+1),MATCH(D80,'Pasif Detay'!$5:$5,0)))</f>
        <v>0</v>
      </c>
    </row>
    <row r="81" spans="1:6">
      <c r="A81" s="15">
        <v>233</v>
      </c>
      <c r="B81" s="21" t="s">
        <v>211</v>
      </c>
      <c r="C81" s="22">
        <f ca="1">INDIRECT("'Aktif Detay'!"&amp;ADDRESS(IFERROR(MATCH(VLOOKUP($E$3,$BC$3:$BE$140,2,0),'Aktif Detay'!$B:$B,0),MATCH(9003,'Aktif Detay'!$B:$B,0)+1),MATCH(A81,'Aktif Detay'!$5:$5,0)))</f>
        <v>0</v>
      </c>
      <c r="D81" s="23">
        <v>433</v>
      </c>
      <c r="E81" s="21" t="s">
        <v>83</v>
      </c>
      <c r="F81" s="22">
        <f ca="1">INDIRECT("'Pasif Detay'!"&amp;ADDRESS(IFERROR(MATCH(VLOOKUP($E$3,$BC$3:$BE$140,2,0),'Pasif Detay'!$B:$B,0),MATCH(9003,'Pasif Detay'!$B:$B,0)+1),MATCH(D81,'Pasif Detay'!$5:$5,0)))</f>
        <v>0</v>
      </c>
    </row>
    <row r="82" spans="1:6">
      <c r="A82" s="20">
        <v>234</v>
      </c>
      <c r="B82" s="21" t="s">
        <v>212</v>
      </c>
      <c r="C82" s="22">
        <f ca="1">INDIRECT("'Aktif Detay'!"&amp;ADDRESS(IFERROR(MATCH(VLOOKUP($E$3,$BC$3:$BE$140,2,0),'Aktif Detay'!$B:$B,0),MATCH(9003,'Aktif Detay'!$B:$B,0)+1),MATCH(A82,'Aktif Detay'!$5:$5,0)))</f>
        <v>0</v>
      </c>
      <c r="D82" s="23">
        <v>434</v>
      </c>
      <c r="E82" s="21" t="s">
        <v>213</v>
      </c>
      <c r="F82" s="22">
        <f ca="1">INDIRECT("'Pasif Detay'!"&amp;ADDRESS(IFERROR(MATCH(VLOOKUP($E$3,$BC$3:$BE$140,2,0),'Pasif Detay'!$B:$B,0),MATCH(9003,'Pasif Detay'!$B:$B,0)+1),MATCH(D82,'Pasif Detay'!$5:$5,0)))</f>
        <v>0</v>
      </c>
    </row>
    <row r="83" spans="1:6">
      <c r="A83" s="20">
        <v>235</v>
      </c>
      <c r="B83" s="21" t="s">
        <v>214</v>
      </c>
      <c r="C83" s="22">
        <f ca="1">INDIRECT("'Aktif Detay'!"&amp;ADDRESS(IFERROR(MATCH(VLOOKUP($E$3,$BC$3:$BE$140,2,0),'Aktif Detay'!$B:$B,0),MATCH(9003,'Aktif Detay'!$B:$B,0)+1),MATCH(A83,'Aktif Detay'!$5:$5,0)))</f>
        <v>0</v>
      </c>
      <c r="D83" s="23">
        <v>435</v>
      </c>
      <c r="E83" s="21" t="s">
        <v>215</v>
      </c>
      <c r="F83" s="22">
        <f ca="1">INDIRECT("'Pasif Detay'!"&amp;ADDRESS(IFERROR(MATCH(VLOOKUP($E$3,$BC$3:$BE$140,2,0),'Pasif Detay'!$B:$B,0),MATCH(9003,'Pasif Detay'!$B:$B,0)+1),MATCH(D83,'Pasif Detay'!$5:$5,0)))</f>
        <v>0</v>
      </c>
    </row>
    <row r="84" spans="1:6">
      <c r="A84" s="15">
        <v>236</v>
      </c>
      <c r="B84" s="21" t="s">
        <v>119</v>
      </c>
      <c r="C84" s="22">
        <f ca="1">INDIRECT("'Aktif Detay'!"&amp;ADDRESS(IFERROR(MATCH(VLOOKUP($E$3,$BC$3:$BE$140,2,0),'Aktif Detay'!$B:$B,0),MATCH(9003,'Aktif Detay'!$B:$B,0)+1),MATCH(A84,'Aktif Detay'!$5:$5,0)))</f>
        <v>0</v>
      </c>
      <c r="D84" s="23">
        <v>438</v>
      </c>
      <c r="E84" s="21" t="s">
        <v>216</v>
      </c>
      <c r="F84" s="22">
        <f ca="1">INDIRECT("'Pasif Detay'!"&amp;ADDRESS(IFERROR(MATCH(VLOOKUP($E$3,$BC$3:$BE$140,2,0),'Pasif Detay'!$B:$B,0),MATCH(9003,'Pasif Detay'!$B:$B,0)+1),MATCH(D84,'Pasif Detay'!$5:$5,0)))</f>
        <v>0</v>
      </c>
    </row>
    <row r="85" spans="1:6">
      <c r="A85" s="20">
        <v>237</v>
      </c>
      <c r="B85" s="21" t="s">
        <v>122</v>
      </c>
      <c r="C85" s="22">
        <f ca="1">INDIRECT("'Aktif Detay'!"&amp;ADDRESS(IFERROR(MATCH(VLOOKUP($E$3,$BC$3:$BE$140,2,0),'Aktif Detay'!$B:$B,0),MATCH(9003,'Aktif Detay'!$B:$B,0)+1),MATCH(A85,'Aktif Detay'!$5:$5,0)))</f>
        <v>0</v>
      </c>
      <c r="D85" s="23"/>
      <c r="E85" s="18" t="s">
        <v>91</v>
      </c>
      <c r="F85" s="19">
        <f ca="1">SUM(F86:F89)</f>
        <v>669417741.66999984</v>
      </c>
    </row>
    <row r="86" spans="1:6">
      <c r="A86" s="20">
        <v>238</v>
      </c>
      <c r="B86" s="21" t="s">
        <v>125</v>
      </c>
      <c r="C86" s="22">
        <f ca="1">INDIRECT("'Aktif Detay'!"&amp;ADDRESS(IFERROR(MATCH(VLOOKUP($E$3,$BC$3:$BE$140,2,0),'Aktif Detay'!$B:$B,0),MATCH(9003,'Aktif Detay'!$B:$B,0)+1),MATCH(A86,'Aktif Detay'!$5:$5,0)))</f>
        <v>0</v>
      </c>
      <c r="D86" s="23">
        <v>445</v>
      </c>
      <c r="E86" s="21" t="s">
        <v>217</v>
      </c>
      <c r="F86" s="22">
        <f ca="1">INDIRECT("'Pasif Detay'!"&amp;ADDRESS(IFERROR(MATCH(VLOOKUP($E$3,$BC$3:$BE$140,2,0),'Pasif Detay'!$B:$B,0),MATCH(9003,'Pasif Detay'!$B:$B,0)+1),MATCH(D86,'Pasif Detay'!$5:$5,0)))</f>
        <v>669417741.77999985</v>
      </c>
    </row>
    <row r="87" spans="1:6">
      <c r="A87" s="15">
        <v>239</v>
      </c>
      <c r="B87" s="21" t="s">
        <v>128</v>
      </c>
      <c r="C87" s="22">
        <f ca="1">INDIRECT("'Aktif Detay'!"&amp;ADDRESS(IFERROR(MATCH(VLOOKUP($E$3,$BC$3:$BE$140,2,0),'Aktif Detay'!$B:$B,0),MATCH(9003,'Aktif Detay'!$B:$B,0)+1),MATCH(A87,'Aktif Detay'!$5:$5,0)))</f>
        <v>0</v>
      </c>
      <c r="D87" s="23">
        <v>446</v>
      </c>
      <c r="E87" s="21" t="s">
        <v>218</v>
      </c>
      <c r="F87" s="22">
        <f ca="1">INDIRECT("'Pasif Detay'!"&amp;ADDRESS(IFERROR(MATCH(VLOOKUP($E$3,$BC$3:$BE$140,2,0),'Pasif Detay'!$B:$B,0),MATCH(9003,'Pasif Detay'!$B:$B,0)+1),MATCH(D87,'Pasif Detay'!$5:$5,0)))</f>
        <v>-0.11</v>
      </c>
    </row>
    <row r="88" spans="1:6">
      <c r="A88" s="20"/>
      <c r="B88" s="18" t="s">
        <v>219</v>
      </c>
      <c r="C88" s="19">
        <f ca="1">SUM(C89:C95)</f>
        <v>685897889.70000017</v>
      </c>
      <c r="D88" s="23">
        <v>447</v>
      </c>
      <c r="E88" s="21" t="s">
        <v>220</v>
      </c>
      <c r="F88" s="22">
        <f ca="1">INDIRECT("'Pasif Detay'!"&amp;ADDRESS(IFERROR(MATCH(VLOOKUP($E$3,$BC$3:$BE$140,2,0),'Pasif Detay'!$B:$B,0),MATCH(9003,'Pasif Detay'!$B:$B,0)+1),MATCH(D88,'Pasif Detay'!$5:$5,0)))</f>
        <v>0</v>
      </c>
    </row>
    <row r="89" spans="1:6">
      <c r="A89" s="20">
        <v>241</v>
      </c>
      <c r="B89" s="21" t="s">
        <v>134</v>
      </c>
      <c r="C89" s="22">
        <f ca="1">INDIRECT("'Aktif Detay'!"&amp;ADDRESS(IFERROR(MATCH(VLOOKUP($E$3,$BC$3:$BE$140,2,0),'Aktif Detay'!$B:$B,0),MATCH(9003,'Aktif Detay'!$B:$B,0)+1),MATCH(A89,'Aktif Detay'!$5:$5,0)))</f>
        <v>0</v>
      </c>
      <c r="D89" s="23">
        <v>449</v>
      </c>
      <c r="E89" s="21" t="s">
        <v>221</v>
      </c>
      <c r="F89" s="22">
        <f ca="1">INDIRECT("'Pasif Detay'!"&amp;ADDRESS(IFERROR(MATCH(VLOOKUP($E$3,$BC$3:$BE$140,2,0),'Pasif Detay'!$B:$B,0),MATCH(9003,'Pasif Detay'!$B:$B,0)+1),MATCH(D89,'Pasif Detay'!$5:$5,0)))</f>
        <v>0</v>
      </c>
    </row>
    <row r="90" spans="1:6">
      <c r="A90" s="15">
        <v>242</v>
      </c>
      <c r="B90" s="21" t="s">
        <v>137</v>
      </c>
      <c r="C90" s="22">
        <f ca="1">INDIRECT("'Aktif Detay'!"&amp;ADDRESS(IFERROR(MATCH(VLOOKUP($E$3,$BC$3:$BE$140,2,0),'Aktif Detay'!$B:$B,0),MATCH(9003,'Aktif Detay'!$B:$B,0)+1),MATCH(A90,'Aktif Detay'!$5:$5,0)))</f>
        <v>0</v>
      </c>
      <c r="D90" s="23"/>
      <c r="E90" s="18" t="s">
        <v>222</v>
      </c>
      <c r="F90" s="19">
        <f ca="1">SUM(F91:F96)</f>
        <v>180912681499.93408</v>
      </c>
    </row>
    <row r="91" spans="1:6">
      <c r="A91" s="15">
        <v>245</v>
      </c>
      <c r="B91" s="21" t="s">
        <v>140</v>
      </c>
      <c r="C91" s="22">
        <f ca="1">INDIRECT("'Aktif Detay'!"&amp;ADDRESS(IFERROR(MATCH(VLOOKUP($E$3,$BC$3:$BE$140,2,0),'Aktif Detay'!$B:$B,0),MATCH(9003,'Aktif Detay'!$B:$B,0)+1),MATCH(A91,'Aktif Detay'!$5:$5,0)))</f>
        <v>685669889.70000017</v>
      </c>
      <c r="D91" s="23">
        <v>450</v>
      </c>
      <c r="E91" s="21" t="s">
        <v>108</v>
      </c>
      <c r="F91" s="22">
        <f ca="1">INDIRECT("'Pasif Detay'!"&amp;ADDRESS(IFERROR(MATCH(VLOOKUP($E$3,$BC$3:$BE$140,2,0),'Pasif Detay'!$B:$B,0),MATCH(9003,'Pasif Detay'!$B:$B,0)+1),MATCH(D91,'Pasif Detay'!$5:$5,0)))</f>
        <v>11884235644.550016</v>
      </c>
    </row>
    <row r="92" spans="1:6">
      <c r="A92" s="20">
        <v>246</v>
      </c>
      <c r="B92" s="21" t="s">
        <v>143</v>
      </c>
      <c r="C92" s="22">
        <f ca="1">INDIRECT("'Aktif Detay'!"&amp;ADDRESS(IFERROR(MATCH(VLOOKUP($E$3,$BC$3:$BE$140,2,0),'Aktif Detay'!$B:$B,0),MATCH(9003,'Aktif Detay'!$B:$B,0)+1),MATCH(A92,'Aktif Detay'!$5:$5,0)))</f>
        <v>228000</v>
      </c>
      <c r="D92" s="23">
        <v>451</v>
      </c>
      <c r="E92" s="21" t="s">
        <v>111</v>
      </c>
      <c r="F92" s="22">
        <f ca="1">INDIRECT("'Pasif Detay'!"&amp;ADDRESS(IFERROR(MATCH(VLOOKUP($E$3,$BC$3:$BE$140,2,0),'Pasif Detay'!$B:$B,0),MATCH(9003,'Pasif Detay'!$B:$B,0)+1),MATCH(D92,'Pasif Detay'!$5:$5,0)))</f>
        <v>0</v>
      </c>
    </row>
    <row r="93" spans="1:6">
      <c r="A93" s="20">
        <v>247</v>
      </c>
      <c r="B93" s="21" t="s">
        <v>223</v>
      </c>
      <c r="C93" s="22">
        <f ca="1">INDIRECT("'Aktif Detay'!"&amp;ADDRESS(IFERROR(MATCH(VLOOKUP($E$3,$BC$3:$BE$140,2,0),'Aktif Detay'!$B:$B,0),MATCH(9003,'Aktif Detay'!$B:$B,0)+1),MATCH(A93,'Aktif Detay'!$5:$5,0)))</f>
        <v>0</v>
      </c>
      <c r="D93" s="23">
        <v>452</v>
      </c>
      <c r="E93" s="21" t="s">
        <v>114</v>
      </c>
      <c r="F93" s="22">
        <f ca="1">INDIRECT("'Pasif Detay'!"&amp;ADDRESS(IFERROR(MATCH(VLOOKUP($E$3,$BC$3:$BE$140,2,0),'Pasif Detay'!$B:$B,0),MATCH(9003,'Pasif Detay'!$B:$B,0)+1),MATCH(D93,'Pasif Detay'!$5:$5,0)))</f>
        <v>149150840878.46988</v>
      </c>
    </row>
    <row r="94" spans="1:6">
      <c r="A94" s="15">
        <v>248</v>
      </c>
      <c r="B94" s="21" t="s">
        <v>149</v>
      </c>
      <c r="C94" s="22">
        <f ca="1">INDIRECT("'Aktif Detay'!"&amp;ADDRESS(IFERROR(MATCH(VLOOKUP($E$3,$BC$3:$BE$140,2,0),'Aktif Detay'!$B:$B,0),MATCH(9003,'Aktif Detay'!$B:$B,0)+1),MATCH(A94,'Aktif Detay'!$5:$5,0)))</f>
        <v>1620487.72</v>
      </c>
      <c r="D94" s="23">
        <v>453</v>
      </c>
      <c r="E94" s="21" t="s">
        <v>117</v>
      </c>
      <c r="F94" s="22">
        <f ca="1">INDIRECT("'Pasif Detay'!"&amp;ADDRESS(IFERROR(MATCH(VLOOKUP($E$3,$BC$3:$BE$140,2,0),'Pasif Detay'!$B:$B,0),MATCH(9003,'Pasif Detay'!$B:$B,0)+1),MATCH(D94,'Pasif Detay'!$5:$5,0)))</f>
        <v>2330231784.1141901</v>
      </c>
    </row>
    <row r="95" spans="1:6">
      <c r="A95" s="20">
        <v>249</v>
      </c>
      <c r="B95" s="21" t="s">
        <v>151</v>
      </c>
      <c r="C95" s="22">
        <f ca="1">INDIRECT("'Aktif Detay'!"&amp;ADDRESS(IFERROR(MATCH(VLOOKUP($E$3,$BC$3:$BE$140,2,0),'Aktif Detay'!$B:$B,0),MATCH(9003,'Aktif Detay'!$B:$B,0)+1),MATCH(A95,'Aktif Detay'!$5:$5,0)))</f>
        <v>-1620487.72</v>
      </c>
      <c r="D95" s="23">
        <v>454</v>
      </c>
      <c r="E95" s="21" t="s">
        <v>120</v>
      </c>
      <c r="F95" s="22">
        <f ca="1">INDIRECT("'Pasif Detay'!"&amp;ADDRESS(IFERROR(MATCH(VLOOKUP($E$3,$BC$3:$BE$140,2,0),'Pasif Detay'!$B:$B,0),MATCH(9003,'Pasif Detay'!$B:$B,0)+1),MATCH(D95,'Pasif Detay'!$5:$5,0)))</f>
        <v>0</v>
      </c>
    </row>
    <row r="96" spans="1:6">
      <c r="A96" s="20"/>
      <c r="B96" s="18" t="s">
        <v>224</v>
      </c>
      <c r="C96" s="19">
        <f ca="1">SUM(C97:C106)</f>
        <v>59786746335.359993</v>
      </c>
      <c r="D96" s="23">
        <v>459</v>
      </c>
      <c r="E96" s="21" t="s">
        <v>123</v>
      </c>
      <c r="F96" s="22">
        <f ca="1">INDIRECT("'Pasif Detay'!"&amp;ADDRESS(IFERROR(MATCH(VLOOKUP($E$3,$BC$3:$BE$140,2,0),'Pasif Detay'!$B:$B,0),MATCH(9003,'Pasif Detay'!$B:$B,0)+1),MATCH(D96,'Pasif Detay'!$5:$5,0)))</f>
        <v>17547373192.799999</v>
      </c>
    </row>
    <row r="97" spans="1:6">
      <c r="A97" s="15">
        <v>250</v>
      </c>
      <c r="B97" s="21" t="s">
        <v>225</v>
      </c>
      <c r="C97" s="22">
        <f ca="1">INDIRECT("'Aktif Detay'!"&amp;ADDRESS(IFERROR(MATCH(VLOOKUP($E$3,$BC$3:$BE$140,2,0),'Aktif Detay'!$B:$B,0),MATCH(9003,'Aktif Detay'!$B:$B,0)+1),MATCH(A97,'Aktif Detay'!$5:$5,0)))</f>
        <v>3661582266.0700002</v>
      </c>
      <c r="D97" s="23"/>
      <c r="E97" s="18" t="s">
        <v>226</v>
      </c>
      <c r="F97" s="19">
        <f ca="1">SUM(F98:F100)</f>
        <v>71142360.729999989</v>
      </c>
    </row>
    <row r="98" spans="1:6">
      <c r="A98" s="20">
        <v>251</v>
      </c>
      <c r="B98" s="21" t="s">
        <v>227</v>
      </c>
      <c r="C98" s="22">
        <f ca="1">INDIRECT("'Aktif Detay'!"&amp;ADDRESS(IFERROR(MATCH(VLOOKUP($E$3,$BC$3:$BE$140,2,0),'Aktif Detay'!$B:$B,0),MATCH(9003,'Aktif Detay'!$B:$B,0)+1),MATCH(A98,'Aktif Detay'!$5:$5,0)))</f>
        <v>21916577004.409996</v>
      </c>
      <c r="D98" s="23">
        <v>460</v>
      </c>
      <c r="E98" s="21" t="s">
        <v>228</v>
      </c>
      <c r="F98" s="22">
        <f ca="1">INDIRECT("'Pasif Detay'!"&amp;ADDRESS(IFERROR(MATCH(VLOOKUP($E$3,$BC$3:$BE$140,2,0),'Pasif Detay'!$B:$B,0),MATCH(9003,'Pasif Detay'!$B:$B,0)+1),MATCH(D98,'Pasif Detay'!$5:$5,0)))</f>
        <v>0</v>
      </c>
    </row>
    <row r="99" spans="1:6">
      <c r="A99" s="20">
        <v>252</v>
      </c>
      <c r="B99" s="21" t="s">
        <v>229</v>
      </c>
      <c r="C99" s="22">
        <f ca="1">INDIRECT("'Aktif Detay'!"&amp;ADDRESS(IFERROR(MATCH(VLOOKUP($E$3,$BC$3:$BE$140,2,0),'Aktif Detay'!$B:$B,0),MATCH(9003,'Aktif Detay'!$B:$B,0)+1),MATCH(A99,'Aktif Detay'!$5:$5,0)))</f>
        <v>0</v>
      </c>
      <c r="D99" s="23">
        <v>461</v>
      </c>
      <c r="E99" s="21" t="s">
        <v>230</v>
      </c>
      <c r="F99" s="22">
        <f ca="1">INDIRECT("'Pasif Detay'!"&amp;ADDRESS(IFERROR(MATCH(VLOOKUP($E$3,$BC$3:$BE$140,2,0),'Pasif Detay'!$B:$B,0),MATCH(9003,'Pasif Detay'!$B:$B,0)+1),MATCH(D99,'Pasif Detay'!$5:$5,0)))</f>
        <v>0</v>
      </c>
    </row>
    <row r="100" spans="1:6">
      <c r="A100" s="20">
        <v>253</v>
      </c>
      <c r="B100" s="21" t="s">
        <v>231</v>
      </c>
      <c r="C100" s="22">
        <f ca="1">INDIRECT("'Aktif Detay'!"&amp;ADDRESS(IFERROR(MATCH(VLOOKUP($E$3,$BC$3:$BE$140,2,0),'Aktif Detay'!$B:$B,0),MATCH(9003,'Aktif Detay'!$B:$B,0)+1),MATCH(A100,'Aktif Detay'!$5:$5,0)))</f>
        <v>34197652275.339996</v>
      </c>
      <c r="D100" s="23">
        <v>469</v>
      </c>
      <c r="E100" s="21" t="s">
        <v>232</v>
      </c>
      <c r="F100" s="22">
        <f ca="1">INDIRECT("'Pasif Detay'!"&amp;ADDRESS(IFERROR(MATCH(VLOOKUP($E$3,$BC$3:$BE$140,2,0),'Pasif Detay'!$B:$B,0),MATCH(9003,'Pasif Detay'!$B:$B,0)+1),MATCH(D100,'Pasif Detay'!$5:$5,0)))</f>
        <v>71142360.729999989</v>
      </c>
    </row>
    <row r="101" spans="1:6">
      <c r="A101" s="15">
        <v>254</v>
      </c>
      <c r="B101" s="21" t="s">
        <v>233</v>
      </c>
      <c r="C101" s="22">
        <f ca="1">INDIRECT("'Aktif Detay'!"&amp;ADDRESS(IFERROR(MATCH(VLOOKUP($E$3,$BC$3:$BE$140,2,0),'Aktif Detay'!$B:$B,0),MATCH(9003,'Aktif Detay'!$B:$B,0)+1),MATCH(A101,'Aktif Detay'!$5:$5,0)))</f>
        <v>-10000000</v>
      </c>
      <c r="D101" s="23"/>
      <c r="E101" s="18" t="s">
        <v>234</v>
      </c>
      <c r="F101" s="19">
        <f ca="1">SUM(F102:F103)</f>
        <v>4316762125.9399996</v>
      </c>
    </row>
    <row r="102" spans="1:6">
      <c r="A102" s="20">
        <v>255</v>
      </c>
      <c r="B102" s="21" t="s">
        <v>235</v>
      </c>
      <c r="C102" s="22">
        <f ca="1">INDIRECT("'Aktif Detay'!"&amp;ADDRESS(IFERROR(MATCH(VLOOKUP($E$3,$BC$3:$BE$140,2,0),'Aktif Detay'!$B:$B,0),MATCH(9003,'Aktif Detay'!$B:$B,0)+1),MATCH(A102,'Aktif Detay'!$5:$5,0)))</f>
        <v>0</v>
      </c>
      <c r="D102" s="23">
        <v>471</v>
      </c>
      <c r="E102" s="21" t="s">
        <v>152</v>
      </c>
      <c r="F102" s="22">
        <f ca="1">INDIRECT("'Pasif Detay'!"&amp;ADDRESS(IFERROR(MATCH(VLOOKUP($E$3,$BC$3:$BE$140,2,0),'Pasif Detay'!$B:$B,0),MATCH(9003,'Pasif Detay'!$B:$B,0)+1),MATCH(D102,'Pasif Detay'!$5:$5,0)))</f>
        <v>3546695612.4499998</v>
      </c>
    </row>
    <row r="103" spans="1:6">
      <c r="A103" s="20">
        <v>256</v>
      </c>
      <c r="B103" s="21" t="s">
        <v>236</v>
      </c>
      <c r="C103" s="22">
        <f ca="1">INDIRECT("'Aktif Detay'!"&amp;ADDRESS(IFERROR(MATCH(VLOOKUP($E$3,$BC$3:$BE$140,2,0),'Aktif Detay'!$B:$B,0),MATCH(9003,'Aktif Detay'!$B:$B,0)+1),MATCH(A103,'Aktif Detay'!$5:$5,0)))</f>
        <v>0</v>
      </c>
      <c r="D103" s="23">
        <v>472</v>
      </c>
      <c r="E103" s="21" t="s">
        <v>155</v>
      </c>
      <c r="F103" s="22">
        <f ca="1">INDIRECT("'Pasif Detay'!"&amp;ADDRESS(IFERROR(MATCH(VLOOKUP($E$3,$BC$3:$BE$140,2,0),'Pasif Detay'!$B:$B,0),MATCH(9003,'Pasif Detay'!$B:$B,0)+1),MATCH(D103,'Pasif Detay'!$5:$5,0)))</f>
        <v>770066513.49000001</v>
      </c>
    </row>
    <row r="104" spans="1:6">
      <c r="A104" s="20">
        <v>257</v>
      </c>
      <c r="B104" s="21" t="s">
        <v>237</v>
      </c>
      <c r="C104" s="22">
        <f ca="1">INDIRECT("'Aktif Detay'!"&amp;ADDRESS(IFERROR(MATCH(VLOOKUP($E$3,$BC$3:$BE$140,2,0),'Aktif Detay'!$B:$B,0),MATCH(9003,'Aktif Detay'!$B:$B,0)+1),MATCH(A104,'Aktif Detay'!$5:$5,0)))</f>
        <v>0</v>
      </c>
      <c r="D104" s="23"/>
      <c r="E104" s="18" t="s">
        <v>238</v>
      </c>
      <c r="F104" s="19">
        <f ca="1">SUM(F105:F107)</f>
        <v>21793395173.27</v>
      </c>
    </row>
    <row r="105" spans="1:6">
      <c r="A105" s="20">
        <v>258</v>
      </c>
      <c r="B105" s="21" t="s">
        <v>239</v>
      </c>
      <c r="C105" s="22">
        <f ca="1">INDIRECT("'Aktif Detay'!"&amp;ADDRESS(IFERROR(MATCH(VLOOKUP($E$3,$BC$3:$BE$140,2,0),'Aktif Detay'!$B:$B,0),MATCH(9003,'Aktif Detay'!$B:$B,0)+1),MATCH(A105,'Aktif Detay'!$5:$5,0)))</f>
        <v>44753916.810000002</v>
      </c>
      <c r="D105" s="23">
        <v>480</v>
      </c>
      <c r="E105" s="21" t="s">
        <v>240</v>
      </c>
      <c r="F105" s="22">
        <f ca="1">INDIRECT("'Pasif Detay'!"&amp;ADDRESS(IFERROR(MATCH(VLOOKUP($E$3,$BC$3:$BE$140,2,0),'Pasif Detay'!$B:$B,0),MATCH(9003,'Pasif Detay'!$B:$B,0)+1),MATCH(D105,'Pasif Detay'!$5:$5,0)))</f>
        <v>125296407.63</v>
      </c>
    </row>
    <row r="106" spans="1:6">
      <c r="A106" s="20">
        <v>259</v>
      </c>
      <c r="B106" s="21" t="s">
        <v>241</v>
      </c>
      <c r="C106" s="22">
        <f ca="1">INDIRECT("'Aktif Detay'!"&amp;ADDRESS(IFERROR(MATCH(VLOOKUP($E$3,$BC$3:$BE$140,2,0),'Aktif Detay'!$B:$B,0),MATCH(9003,'Aktif Detay'!$B:$B,0)+1),MATCH(A106,'Aktif Detay'!$5:$5,0)))</f>
        <v>-23819127.27</v>
      </c>
      <c r="D106" s="23">
        <v>483</v>
      </c>
      <c r="E106" s="21" t="s">
        <v>165</v>
      </c>
      <c r="F106" s="22">
        <f ca="1">INDIRECT("'Pasif Detay'!"&amp;ADDRESS(IFERROR(MATCH(VLOOKUP($E$3,$BC$3:$BE$140,2,0),'Pasif Detay'!$B:$B,0),MATCH(9003,'Pasif Detay'!$B:$B,0)+1),MATCH(D106,'Pasif Detay'!$5:$5,0)))</f>
        <v>0</v>
      </c>
    </row>
    <row r="107" spans="1:6">
      <c r="A107" s="20"/>
      <c r="B107" s="18" t="s">
        <v>242</v>
      </c>
      <c r="C107" s="19">
        <f ca="1">SUM(C108:C117)</f>
        <v>30825599998.940002</v>
      </c>
      <c r="D107" s="23">
        <v>489</v>
      </c>
      <c r="E107" s="21" t="s">
        <v>243</v>
      </c>
      <c r="F107" s="22">
        <f ca="1">INDIRECT("'Pasif Detay'!"&amp;ADDRESS(IFERROR(MATCH(VLOOKUP($E$3,$BC$3:$BE$140,2,0),'Pasif Detay'!$B:$B,0),MATCH(9003,'Pasif Detay'!$B:$B,0)+1),MATCH(D107,'Pasif Detay'!$5:$5,0)))</f>
        <v>21668098765.639999</v>
      </c>
    </row>
    <row r="108" spans="1:6">
      <c r="A108" s="20">
        <v>260</v>
      </c>
      <c r="B108" s="21" t="s">
        <v>244</v>
      </c>
      <c r="C108" s="22">
        <f ca="1">INDIRECT("'Aktif Detay'!"&amp;ADDRESS(IFERROR(MATCH(VLOOKUP($E$3,$BC$3:$BE$140,2,0),'Aktif Detay'!$B:$B,0),MATCH(9003,'Aktif Detay'!$B:$B,0)+1),MATCH(A108,'Aktif Detay'!$5:$5,0)))</f>
        <v>11270205007.5</v>
      </c>
      <c r="D108" s="23"/>
      <c r="E108" s="18" t="s">
        <v>245</v>
      </c>
      <c r="F108" s="19">
        <f ca="1">SUM(F109:F110)</f>
        <v>2580468468.9099998</v>
      </c>
    </row>
    <row r="109" spans="1:6">
      <c r="A109" s="20">
        <v>261</v>
      </c>
      <c r="B109" s="21" t="s">
        <v>246</v>
      </c>
      <c r="C109" s="22">
        <f ca="1">INDIRECT("'Aktif Detay'!"&amp;ADDRESS(IFERROR(MATCH(VLOOKUP($E$3,$BC$3:$BE$140,2,0),'Aktif Detay'!$B:$B,0),MATCH(9003,'Aktif Detay'!$B:$B,0)+1),MATCH(A109,'Aktif Detay'!$5:$5,0)))</f>
        <v>-115493.53</v>
      </c>
      <c r="D109" s="23">
        <v>494</v>
      </c>
      <c r="E109" s="21" t="s">
        <v>247</v>
      </c>
      <c r="F109" s="22">
        <f ca="1">INDIRECT("'Pasif Detay'!"&amp;ADDRESS(IFERROR(MATCH(VLOOKUP($E$3,$BC$3:$BE$140,2,0),'Pasif Detay'!$B:$B,0),MATCH(9003,'Pasif Detay'!$B:$B,0)+1),MATCH(D109,'Pasif Detay'!$5:$5,0)))</f>
        <v>2285319752.0599999</v>
      </c>
    </row>
    <row r="110" spans="1:6">
      <c r="A110" s="15">
        <v>262</v>
      </c>
      <c r="B110" s="21" t="s">
        <v>248</v>
      </c>
      <c r="C110" s="22">
        <f ca="1">INDIRECT("'Aktif Detay'!"&amp;ADDRESS(IFERROR(MATCH(VLOOKUP($E$3,$BC$3:$BE$140,2,0),'Aktif Detay'!$B:$B,0),MATCH(9003,'Aktif Detay'!$B:$B,0)+1),MATCH(A110,'Aktif Detay'!$5:$5,0)))</f>
        <v>8096236276.2099991</v>
      </c>
      <c r="D110" s="23">
        <v>499</v>
      </c>
      <c r="E110" s="21" t="s">
        <v>249</v>
      </c>
      <c r="F110" s="22">
        <f ca="1">INDIRECT("'Pasif Detay'!"&amp;ADDRESS(IFERROR(MATCH(VLOOKUP($E$3,$BC$3:$BE$140,2,0),'Pasif Detay'!$B:$B,0),MATCH(9003,'Pasif Detay'!$B:$B,0)+1),MATCH(D110,'Pasif Detay'!$5:$5,0)))</f>
        <v>295148716.84999996</v>
      </c>
    </row>
    <row r="111" spans="1:6">
      <c r="A111" s="15">
        <v>263</v>
      </c>
      <c r="B111" s="21" t="s">
        <v>250</v>
      </c>
      <c r="C111" s="22">
        <f ca="1">INDIRECT("'Aktif Detay'!"&amp;ADDRESS(IFERROR(MATCH(VLOOKUP($E$3,$BC$3:$BE$140,2,0),'Aktif Detay'!$B:$B,0),MATCH(9003,'Aktif Detay'!$B:$B,0)+1),MATCH(A111,'Aktif Detay'!$5:$5,0)))</f>
        <v>1577860698.8099999</v>
      </c>
      <c r="D111" s="23"/>
      <c r="E111" s="16" t="s">
        <v>251</v>
      </c>
      <c r="F111" s="17">
        <f ca="1">+F112+F118+F124+F131+F133+F135</f>
        <v>511902307661.53815</v>
      </c>
    </row>
    <row r="112" spans="1:6">
      <c r="A112" s="15">
        <v>264</v>
      </c>
      <c r="B112" s="21" t="s">
        <v>252</v>
      </c>
      <c r="C112" s="22">
        <f ca="1">INDIRECT("'Aktif Detay'!"&amp;ADDRESS(IFERROR(MATCH(VLOOKUP($E$3,$BC$3:$BE$140,2,0),'Aktif Detay'!$B:$B,0),MATCH(9003,'Aktif Detay'!$B:$B,0)+1),MATCH(A112,'Aktif Detay'!$5:$5,0)))</f>
        <v>4811259677.079999</v>
      </c>
      <c r="D112" s="23"/>
      <c r="E112" s="16" t="s">
        <v>253</v>
      </c>
      <c r="F112" s="17">
        <f ca="1">+SUM(F113:F117)</f>
        <v>80312089901.050003</v>
      </c>
    </row>
    <row r="113" spans="1:9" ht="13.5" thickBot="1">
      <c r="A113" s="25">
        <v>265</v>
      </c>
      <c r="B113" s="21" t="s">
        <v>254</v>
      </c>
      <c r="C113" s="22">
        <f ca="1">INDIRECT("'Aktif Detay'!"&amp;ADDRESS(IFERROR(MATCH(VLOOKUP($E$3,$BC$3:$BE$140,2,0),'Aktif Detay'!$B:$B,0),MATCH(9003,'Aktif Detay'!$B:$B,0)+1),MATCH(A113,'Aktif Detay'!$5:$5,0)))</f>
        <v>3054204859.3200002</v>
      </c>
      <c r="D113" s="23">
        <v>500</v>
      </c>
      <c r="E113" s="21" t="s">
        <v>255</v>
      </c>
      <c r="F113" s="22">
        <f ca="1">INDIRECT("'Pasif Detay'!"&amp;ADDRESS(IFERROR(MATCH(VLOOKUP($E$3,$BC$3:$BE$140,2,0),'Pasif Detay'!$B:$B,0),MATCH(9003,'Pasif Detay'!$B:$B,0)+1),MATCH(D113,'Pasif Detay'!$5:$5,0)))</f>
        <v>80140366884.869995</v>
      </c>
    </row>
    <row r="114" spans="1:9">
      <c r="A114" s="26">
        <v>266</v>
      </c>
      <c r="B114" s="21" t="s">
        <v>256</v>
      </c>
      <c r="C114" s="22">
        <f ca="1">INDIRECT("'Aktif Detay'!"&amp;ADDRESS(IFERROR(MATCH(VLOOKUP($E$3,$BC$3:$BE$140,2,0),'Aktif Detay'!$B:$B,0),MATCH(9003,'Aktif Detay'!$B:$B,0)+1),MATCH(A114,'Aktif Detay'!$5:$5,0)))</f>
        <v>2352332549.3900003</v>
      </c>
      <c r="D114" s="23">
        <v>501</v>
      </c>
      <c r="E114" s="21" t="s">
        <v>257</v>
      </c>
      <c r="F114" s="22">
        <f ca="1">INDIRECT("'Pasif Detay'!"&amp;ADDRESS(IFERROR(MATCH(VLOOKUP($E$3,$BC$3:$BE$140,2,0),'Pasif Detay'!$B:$B,0),MATCH(9003,'Pasif Detay'!$B:$B,0)+1),MATCH(D114,'Pasif Detay'!$5:$5,0)))</f>
        <v>-18348232</v>
      </c>
    </row>
    <row r="115" spans="1:9">
      <c r="A115" s="20">
        <v>267</v>
      </c>
      <c r="B115" s="21" t="s">
        <v>258</v>
      </c>
      <c r="C115" s="22">
        <f ca="1">INDIRECT("'Aktif Detay'!"&amp;ADDRESS(IFERROR(MATCH(VLOOKUP($E$3,$BC$3:$BE$140,2,0),'Aktif Detay'!$B:$B,0),MATCH(9003,'Aktif Detay'!$B:$B,0)+1),MATCH(A115,'Aktif Detay'!$5:$5,0)))</f>
        <v>7537146871.0400009</v>
      </c>
      <c r="D115" s="23">
        <v>502</v>
      </c>
      <c r="E115" s="21" t="s">
        <v>259</v>
      </c>
      <c r="F115" s="22">
        <f ca="1">INDIRECT("'Pasif Detay'!"&amp;ADDRESS(IFERROR(MATCH(VLOOKUP($E$3,$BC$3:$BE$140,2,0),'Pasif Detay'!$B:$B,0),MATCH(9003,'Pasif Detay'!$B:$B,0)+1),MATCH(D115,'Pasif Detay'!$5:$5,0)))</f>
        <v>144972440.27000001</v>
      </c>
    </row>
    <row r="116" spans="1:9">
      <c r="A116" s="20">
        <v>268</v>
      </c>
      <c r="B116" s="21" t="s">
        <v>260</v>
      </c>
      <c r="C116" s="22">
        <f ca="1">INDIRECT("'Aktif Detay'!"&amp;ADDRESS(IFERROR(MATCH(VLOOKUP($E$3,$BC$3:$BE$140,2,0),'Aktif Detay'!$B:$B,0),MATCH(9003,'Aktif Detay'!$B:$B,0)+1),MATCH(A116,'Aktif Detay'!$5:$5,0)))</f>
        <v>-8288582687.0199976</v>
      </c>
      <c r="D116" s="23">
        <v>503</v>
      </c>
      <c r="E116" s="21" t="s">
        <v>261</v>
      </c>
      <c r="F116" s="22">
        <f ca="1">INDIRECT("'Pasif Detay'!"&amp;ADDRESS(IFERROR(MATCH(VLOOKUP($E$3,$BC$3:$BE$140,2,0),'Pasif Detay'!$B:$B,0),MATCH(9003,'Pasif Detay'!$B:$B,0)+1),MATCH(D116,'Pasif Detay'!$5:$5,0)))</f>
        <v>0</v>
      </c>
    </row>
    <row r="117" spans="1:9">
      <c r="A117" s="20">
        <v>269</v>
      </c>
      <c r="B117" s="21" t="s">
        <v>262</v>
      </c>
      <c r="C117" s="22">
        <f ca="1">INDIRECT("'Aktif Detay'!"&amp;ADDRESS(IFERROR(MATCH(VLOOKUP($E$3,$BC$3:$BE$140,2,0),'Aktif Detay'!$B:$B,0),MATCH(9003,'Aktif Detay'!$B:$B,0)+1),MATCH(A117,'Aktif Detay'!$5:$5,0)))</f>
        <v>415052240.14000005</v>
      </c>
      <c r="D117" s="23">
        <v>504</v>
      </c>
      <c r="E117" s="21" t="s">
        <v>263</v>
      </c>
      <c r="F117" s="22">
        <f ca="1">INDIRECT("'Pasif Detay'!"&amp;ADDRESS(IFERROR(MATCH(VLOOKUP($E$3,$BC$3:$BE$140,2,0),'Pasif Detay'!$B:$B,0),MATCH(9003,'Pasif Detay'!$B:$B,0)+1),MATCH(D117,'Pasif Detay'!$5:$5,0)))</f>
        <v>45098807.909999996</v>
      </c>
    </row>
    <row r="118" spans="1:9">
      <c r="A118" s="20"/>
      <c r="B118" s="18" t="s">
        <v>264</v>
      </c>
      <c r="C118" s="19">
        <f ca="1">SUM(C119:C125)</f>
        <v>16907339987.049999</v>
      </c>
      <c r="D118" s="23"/>
      <c r="E118" s="18" t="s">
        <v>265</v>
      </c>
      <c r="F118" s="17">
        <f ca="1">+SUM(F119:F123)</f>
        <v>6882860809.75</v>
      </c>
    </row>
    <row r="119" spans="1:9">
      <c r="A119" s="20">
        <v>270</v>
      </c>
      <c r="B119" s="21" t="s">
        <v>266</v>
      </c>
      <c r="C119" s="22">
        <f ca="1">INDIRECT("'Aktif Detay'!"&amp;ADDRESS(IFERROR(MATCH(VLOOKUP($E$3,$BC$3:$BE$140,2,0),'Aktif Detay'!$B:$B,0),MATCH(9003,'Aktif Detay'!$B:$B,0)+1),MATCH(A119,'Aktif Detay'!$5:$5,0)))</f>
        <v>13608233900.860003</v>
      </c>
      <c r="D119" s="23">
        <v>520</v>
      </c>
      <c r="E119" s="21" t="s">
        <v>267</v>
      </c>
      <c r="F119" s="22">
        <f ca="1">INDIRECT("'Pasif Detay'!"&amp;ADDRESS(IFERROR(MATCH(VLOOKUP($E$3,$BC$3:$BE$140,2,0),'Pasif Detay'!$B:$B,0),MATCH(9003,'Pasif Detay'!$B:$B,0)+1),MATCH(D119,'Pasif Detay'!$5:$5,0)))</f>
        <v>1735791928.5300002</v>
      </c>
    </row>
    <row r="120" spans="1:9">
      <c r="A120" s="20">
        <v>271</v>
      </c>
      <c r="B120" s="21" t="s">
        <v>268</v>
      </c>
      <c r="C120" s="22">
        <f ca="1">INDIRECT("'Aktif Detay'!"&amp;ADDRESS(IFERROR(MATCH(VLOOKUP($E$3,$BC$3:$BE$140,2,0),'Aktif Detay'!$B:$B,0),MATCH(9003,'Aktif Detay'!$B:$B,0)+1),MATCH(A120,'Aktif Detay'!$5:$5,0)))</f>
        <v>493482983.67000002</v>
      </c>
      <c r="D120" s="23">
        <v>521</v>
      </c>
      <c r="E120" s="21" t="s">
        <v>269</v>
      </c>
      <c r="F120" s="22">
        <f ca="1">INDIRECT("'Pasif Detay'!"&amp;ADDRESS(IFERROR(MATCH(VLOOKUP($E$3,$BC$3:$BE$140,2,0),'Pasif Detay'!$B:$B,0),MATCH(9003,'Pasif Detay'!$B:$B,0)+1),MATCH(D120,'Pasif Detay'!$5:$5,0)))</f>
        <v>0</v>
      </c>
    </row>
    <row r="121" spans="1:9">
      <c r="A121" s="20">
        <v>272</v>
      </c>
      <c r="B121" s="21" t="s">
        <v>270</v>
      </c>
      <c r="C121" s="22">
        <f ca="1">INDIRECT("'Aktif Detay'!"&amp;ADDRESS(IFERROR(MATCH(VLOOKUP($E$3,$BC$3:$BE$140,2,0),'Aktif Detay'!$B:$B,0),MATCH(9003,'Aktif Detay'!$B:$B,0)+1),MATCH(A121,'Aktif Detay'!$5:$5,0)))</f>
        <v>0</v>
      </c>
      <c r="D121" s="23">
        <v>524</v>
      </c>
      <c r="E121" s="21" t="s">
        <v>271</v>
      </c>
      <c r="F121" s="22">
        <f ca="1">INDIRECT("'Pasif Detay'!"&amp;ADDRESS(IFERROR(MATCH(VLOOKUP($E$3,$BC$3:$BE$140,2,0),'Pasif Detay'!$B:$B,0),MATCH(9003,'Pasif Detay'!$B:$B,0)+1),MATCH(D121,'Pasif Detay'!$5:$5,0)))</f>
        <v>152751617</v>
      </c>
    </row>
    <row r="122" spans="1:9">
      <c r="A122" s="27">
        <v>273</v>
      </c>
      <c r="B122" s="21" t="s">
        <v>272</v>
      </c>
      <c r="C122" s="22">
        <f ca="1">INDIRECT("'Aktif Detay'!"&amp;ADDRESS(IFERROR(MATCH(VLOOKUP($E$3,$BC$3:$BE$140,2,0),'Aktif Detay'!$B:$B,0),MATCH(9003,'Aktif Detay'!$B:$B,0)+1),MATCH(A122,'Aktif Detay'!$5:$5,0)))</f>
        <v>1750862949.54</v>
      </c>
      <c r="D122" s="23">
        <v>525</v>
      </c>
      <c r="E122" s="21" t="s">
        <v>273</v>
      </c>
      <c r="F122" s="22">
        <f ca="1">INDIRECT("'Pasif Detay'!"&amp;ADDRESS(IFERROR(MATCH(VLOOKUP($E$3,$BC$3:$BE$140,2,0),'Pasif Detay'!$B:$B,0),MATCH(9003,'Pasif Detay'!$B:$B,0)+1),MATCH(D122,'Pasif Detay'!$5:$5,0)))</f>
        <v>0</v>
      </c>
    </row>
    <row r="123" spans="1:9">
      <c r="A123" s="20">
        <v>277</v>
      </c>
      <c r="B123" s="21" t="s">
        <v>274</v>
      </c>
      <c r="C123" s="22">
        <f ca="1">INDIRECT("'Aktif Detay'!"&amp;ADDRESS(IFERROR(MATCH(VLOOKUP($E$3,$BC$3:$BE$140,2,0),'Aktif Detay'!$B:$B,0),MATCH(9003,'Aktif Detay'!$B:$B,0)+1),MATCH(A123,'Aktif Detay'!$5:$5,0)))</f>
        <v>8529902640.2099991</v>
      </c>
      <c r="D123" s="23">
        <v>529</v>
      </c>
      <c r="E123" s="21" t="s">
        <v>275</v>
      </c>
      <c r="F123" s="22">
        <f ca="1">INDIRECT("'Pasif Detay'!"&amp;ADDRESS(IFERROR(MATCH(VLOOKUP($E$3,$BC$3:$BE$140,2,0),'Pasif Detay'!$B:$B,0),MATCH(9003,'Pasif Detay'!$B:$B,0)+1),MATCH(D123,'Pasif Detay'!$5:$5,0)))</f>
        <v>4994317264.2200003</v>
      </c>
      <c r="I123" s="28"/>
    </row>
    <row r="124" spans="1:9">
      <c r="A124" s="20">
        <v>278</v>
      </c>
      <c r="B124" s="21" t="s">
        <v>276</v>
      </c>
      <c r="C124" s="22">
        <f ca="1">INDIRECT("'Aktif Detay'!"&amp;ADDRESS(IFERROR(MATCH(VLOOKUP($E$3,$BC$3:$BE$140,2,0),'Aktif Detay'!$B:$B,0),MATCH(9003,'Aktif Detay'!$B:$B,0)+1),MATCH(A124,'Aktif Detay'!$5:$5,0)))</f>
        <v>-10539149950.880003</v>
      </c>
      <c r="D124" s="23"/>
      <c r="E124" s="18" t="s">
        <v>277</v>
      </c>
      <c r="F124" s="19">
        <f ca="1">SUM(F125:F130)</f>
        <v>255379725163.14001</v>
      </c>
      <c r="I124" s="28"/>
    </row>
    <row r="125" spans="1:9">
      <c r="A125" s="20">
        <v>279</v>
      </c>
      <c r="B125" s="21" t="s">
        <v>278</v>
      </c>
      <c r="C125" s="22">
        <f ca="1">INDIRECT("'Aktif Detay'!"&amp;ADDRESS(IFERROR(MATCH(VLOOKUP($E$3,$BC$3:$BE$140,2,0),'Aktif Detay'!$B:$B,0),MATCH(9003,'Aktif Detay'!$B:$B,0)+1),MATCH(A125,'Aktif Detay'!$5:$5,0)))</f>
        <v>3064007463.6499996</v>
      </c>
      <c r="D125" s="23">
        <v>540</v>
      </c>
      <c r="E125" s="21" t="s">
        <v>279</v>
      </c>
      <c r="F125" s="22">
        <f ca="1">INDIRECT("'Pasif Detay'!"&amp;ADDRESS(IFERROR(MATCH(VLOOKUP($E$3,$BC$3:$BE$140,2,0),'Pasif Detay'!$B:$B,0),MATCH(9003,'Pasif Detay'!$B:$B,0)+1),MATCH(D125,'Pasif Detay'!$5:$5,0)))</f>
        <v>14178883029.240002</v>
      </c>
    </row>
    <row r="126" spans="1:9">
      <c r="A126" s="20"/>
      <c r="B126" s="18" t="s">
        <v>280</v>
      </c>
      <c r="C126" s="19">
        <f ca="1">SUM(C127:C129)</f>
        <v>8046542041.9800043</v>
      </c>
      <c r="D126" s="23">
        <v>541</v>
      </c>
      <c r="E126" s="21" t="s">
        <v>281</v>
      </c>
      <c r="F126" s="22">
        <f ca="1">INDIRECT("'Pasif Detay'!"&amp;ADDRESS(IFERROR(MATCH(VLOOKUP($E$3,$BC$3:$BE$140,2,0),'Pasif Detay'!$B:$B,0),MATCH(9003,'Pasif Detay'!$B:$B,0)+1),MATCH(D126,'Pasif Detay'!$5:$5,0)))</f>
        <v>4102033880.3299999</v>
      </c>
    </row>
    <row r="127" spans="1:9">
      <c r="A127" s="20">
        <v>280</v>
      </c>
      <c r="B127" s="21" t="s">
        <v>282</v>
      </c>
      <c r="C127" s="22">
        <f ca="1">INDIRECT("'Aktif Detay'!"&amp;ADDRESS(IFERROR(MATCH(VLOOKUP($E$3,$BC$3:$BE$140,2,0),'Aktif Detay'!$B:$B,0),MATCH(9003,'Aktif Detay'!$B:$B,0)+1),MATCH(A127,'Aktif Detay'!$5:$5,0)))</f>
        <v>6136586759.9000044</v>
      </c>
      <c r="D127" s="23">
        <v>542</v>
      </c>
      <c r="E127" s="21" t="s">
        <v>283</v>
      </c>
      <c r="F127" s="22">
        <f ca="1">INDIRECT("'Pasif Detay'!"&amp;ADDRESS(IFERROR(MATCH(VLOOKUP($E$3,$BC$3:$BE$140,2,0),'Pasif Detay'!$B:$B,0),MATCH(9003,'Pasif Detay'!$B:$B,0)+1),MATCH(D127,'Pasif Detay'!$5:$5,0)))</f>
        <v>179680326617.44</v>
      </c>
    </row>
    <row r="128" spans="1:9" ht="13.5" thickBot="1">
      <c r="A128" s="25">
        <v>283</v>
      </c>
      <c r="B128" s="21" t="s">
        <v>284</v>
      </c>
      <c r="C128" s="22">
        <f ca="1">INDIRECT("'Aktif Detay'!"&amp;ADDRESS(IFERROR(MATCH(VLOOKUP($E$3,$BC$3:$BE$140,2,0),'Aktif Detay'!$B:$B,0),MATCH(9003,'Aktif Detay'!$B:$B,0)+1),MATCH(A128,'Aktif Detay'!$5:$5,0)))</f>
        <v>0</v>
      </c>
      <c r="D128" s="23">
        <v>543</v>
      </c>
      <c r="E128" s="21" t="s">
        <v>285</v>
      </c>
      <c r="F128" s="22">
        <f ca="1">INDIRECT("'Pasif Detay'!"&amp;ADDRESS(IFERROR(MATCH(VLOOKUP($E$3,$BC$3:$BE$140,2,0),'Pasif Detay'!$B:$B,0),MATCH(9003,'Pasif Detay'!$B:$B,0)+1),MATCH(D128,'Pasif Detay'!$5:$5,0)))</f>
        <v>5348066188.9800005</v>
      </c>
    </row>
    <row r="129" spans="1:9" ht="13.5" thickBot="1">
      <c r="A129" s="25">
        <v>289</v>
      </c>
      <c r="B129" s="21" t="s">
        <v>286</v>
      </c>
      <c r="C129" s="22">
        <f ca="1">INDIRECT("'Aktif Detay'!"&amp;ADDRESS(IFERROR(MATCH(VLOOKUP($E$3,$BC$3:$BE$140,2,0),'Aktif Detay'!$B:$B,0),MATCH(9003,'Aktif Detay'!$B:$B,0)+1),MATCH(A129,'Aktif Detay'!$5:$5,0)))</f>
        <v>1909955282.0800002</v>
      </c>
      <c r="D129" s="23">
        <v>545</v>
      </c>
      <c r="E129" s="21" t="s">
        <v>287</v>
      </c>
      <c r="F129" s="22">
        <f ca="1">INDIRECT("'Pasif Detay'!"&amp;ADDRESS(IFERROR(MATCH(VLOOKUP($E$3,$BC$3:$BE$140,2,0),'Pasif Detay'!$B:$B,0),MATCH(9003,'Pasif Detay'!$B:$B,0)+1),MATCH(D129,'Pasif Detay'!$5:$5,0)))</f>
        <v>47268097776.840012</v>
      </c>
    </row>
    <row r="130" spans="1:9" ht="13.5" thickBot="1">
      <c r="A130" s="25"/>
      <c r="B130" s="18" t="s">
        <v>288</v>
      </c>
      <c r="C130" s="19">
        <f ca="1">SUM(C131:C138)</f>
        <v>16990259046.360003</v>
      </c>
      <c r="D130" s="23">
        <v>549</v>
      </c>
      <c r="E130" s="21" t="s">
        <v>289</v>
      </c>
      <c r="F130" s="22">
        <f ca="1">INDIRECT("'Pasif Detay'!"&amp;ADDRESS(IFERROR(MATCH(VLOOKUP($E$3,$BC$3:$BE$140,2,0),'Pasif Detay'!$B:$B,0),MATCH(9003,'Pasif Detay'!$B:$B,0)+1),MATCH(D130,'Pasif Detay'!$5:$5,0)))</f>
        <v>4802317670.3100004</v>
      </c>
    </row>
    <row r="131" spans="1:9" ht="13.5" thickBot="1">
      <c r="A131" s="25">
        <v>290</v>
      </c>
      <c r="B131" s="21" t="s">
        <v>290</v>
      </c>
      <c r="C131" s="22">
        <f ca="1">INDIRECT("'Aktif Detay'!"&amp;ADDRESS(IFERROR(MATCH(VLOOKUP($E$3,$BC$3:$BE$140,2,0),'Aktif Detay'!$B:$B,0),MATCH(9003,'Aktif Detay'!$B:$B,0)+1),MATCH(A131,'Aktif Detay'!$5:$5,0)))</f>
        <v>0</v>
      </c>
      <c r="D131" s="23"/>
      <c r="E131" s="18" t="s">
        <v>291</v>
      </c>
      <c r="F131" s="19">
        <f ca="1">+F132</f>
        <v>69262447328.000305</v>
      </c>
    </row>
    <row r="132" spans="1:9" ht="13.5" thickBot="1">
      <c r="A132" s="25">
        <v>291</v>
      </c>
      <c r="B132" s="21" t="s">
        <v>292</v>
      </c>
      <c r="C132" s="22">
        <f ca="1">INDIRECT("'Aktif Detay'!"&amp;ADDRESS(IFERROR(MATCH(VLOOKUP($E$3,$BC$3:$BE$140,2,0),'Aktif Detay'!$B:$B,0),MATCH(9003,'Aktif Detay'!$B:$B,0)+1),MATCH(A132,'Aktif Detay'!$5:$5,0)))</f>
        <v>0</v>
      </c>
      <c r="D132" s="23">
        <v>570</v>
      </c>
      <c r="E132" s="21" t="s">
        <v>293</v>
      </c>
      <c r="F132" s="22">
        <f ca="1">INDIRECT("'Pasif Detay'!"&amp;ADDRESS(IFERROR(MATCH(VLOOKUP($E$3,$BC$3:$BE$140,2,0),'Pasif Detay'!$B:$B,0),MATCH(9003,'Pasif Detay'!$B:$B,0)+1),MATCH(D132,'Pasif Detay'!$5:$5,0)))</f>
        <v>69262447328.000305</v>
      </c>
    </row>
    <row r="133" spans="1:9">
      <c r="A133" s="26">
        <v>292</v>
      </c>
      <c r="B133" s="21" t="s">
        <v>294</v>
      </c>
      <c r="C133" s="22">
        <f ca="1">INDIRECT("'Aktif Detay'!"&amp;ADDRESS(IFERROR(MATCH(VLOOKUP($E$3,$BC$3:$BE$140,2,0),'Aktif Detay'!$B:$B,0),MATCH(9003,'Aktif Detay'!$B:$B,0)+1),MATCH(A133,'Aktif Detay'!$5:$5,0)))</f>
        <v>0</v>
      </c>
      <c r="D133" s="23"/>
      <c r="E133" s="18" t="s">
        <v>295</v>
      </c>
      <c r="F133" s="19">
        <f ca="1">+F134</f>
        <v>-3503157215.9700623</v>
      </c>
    </row>
    <row r="134" spans="1:9">
      <c r="A134" s="20">
        <v>293</v>
      </c>
      <c r="B134" s="21" t="s">
        <v>296</v>
      </c>
      <c r="C134" s="22">
        <f ca="1">INDIRECT("'Aktif Detay'!"&amp;ADDRESS(IFERROR(MATCH(VLOOKUP($E$3,$BC$3:$BE$140,2,0),'Aktif Detay'!$B:$B,0),MATCH(9003,'Aktif Detay'!$B:$B,0)+1),MATCH(A134,'Aktif Detay'!$5:$5,0)))</f>
        <v>0</v>
      </c>
      <c r="D134" s="23">
        <v>580</v>
      </c>
      <c r="E134" s="21" t="s">
        <v>297</v>
      </c>
      <c r="F134" s="22">
        <f ca="1">INDIRECT("'Pasif Detay'!"&amp;ADDRESS(IFERROR(MATCH(VLOOKUP($E$3,$BC$3:$BE$140,2,0),'Pasif Detay'!$B:$B,0),MATCH(9003,'Pasif Detay'!$B:$B,0)+1),MATCH(D134,'Pasif Detay'!$5:$5,0)))</f>
        <v>-3503157215.9700623</v>
      </c>
    </row>
    <row r="135" spans="1:9">
      <c r="A135" s="20">
        <v>294</v>
      </c>
      <c r="B135" s="21" t="s">
        <v>298</v>
      </c>
      <c r="C135" s="22">
        <f ca="1">INDIRECT("'Aktif Detay'!"&amp;ADDRESS(IFERROR(MATCH(VLOOKUP($E$3,$BC$3:$BE$140,2,0),'Aktif Detay'!$B:$B,0),MATCH(9003,'Aktif Detay'!$B:$B,0)+1),MATCH(A135,'Aktif Detay'!$5:$5,0)))</f>
        <v>16858591941.630003</v>
      </c>
      <c r="D135" s="23"/>
      <c r="E135" s="18" t="s">
        <v>299</v>
      </c>
      <c r="F135" s="19">
        <f ca="1">SUM(F136:F138)</f>
        <v>103568341675.56793</v>
      </c>
    </row>
    <row r="136" spans="1:9">
      <c r="A136" s="20">
        <v>297</v>
      </c>
      <c r="B136" s="21" t="s">
        <v>300</v>
      </c>
      <c r="C136" s="22">
        <f ca="1">INDIRECT("'Aktif Detay'!"&amp;ADDRESS(IFERROR(MATCH(VLOOKUP($E$3,$BC$3:$BE$140,2,0),'Aktif Detay'!$B:$B,0),MATCH(9003,'Aktif Detay'!$B:$B,0)+1),MATCH(A136,'Aktif Detay'!$5:$5,0)))</f>
        <v>131667104.73</v>
      </c>
      <c r="D136" s="23">
        <v>590</v>
      </c>
      <c r="E136" s="21" t="s">
        <v>301</v>
      </c>
      <c r="F136" s="22">
        <f ca="1">INDIRECT("'Pasif Detay'!"&amp;ADDRESS(IFERROR(MATCH(VLOOKUP($E$3,$BC$3:$BE$140,2,0),'Pasif Detay'!$B:$B,0),MATCH(9003,'Pasif Detay'!$B:$B,0)+1),MATCH(D136,'Pasif Detay'!$5:$5,0)))</f>
        <v>104127407940.24792</v>
      </c>
    </row>
    <row r="137" spans="1:9">
      <c r="A137" s="20">
        <v>298</v>
      </c>
      <c r="B137" s="21" t="s">
        <v>302</v>
      </c>
      <c r="C137" s="22">
        <f ca="1">INDIRECT("'Aktif Detay'!"&amp;ADDRESS(IFERROR(MATCH(VLOOKUP($E$3,$BC$3:$BE$140,2,0),'Aktif Detay'!$B:$B,0),MATCH(9003,'Aktif Detay'!$B:$B,0)+1),MATCH(A137,'Aktif Detay'!$5:$5,0)))</f>
        <v>0</v>
      </c>
      <c r="D137" s="23">
        <v>591</v>
      </c>
      <c r="E137" s="21" t="s">
        <v>303</v>
      </c>
      <c r="F137" s="22">
        <f ca="1">INDIRECT("'Pasif Detay'!"&amp;ADDRESS(IFERROR(MATCH(VLOOKUP($E$3,$BC$3:$BE$140,2,0),'Pasif Detay'!$B:$B,0),MATCH(9003,'Pasif Detay'!$B:$B,0)+1),MATCH(D137,'Pasif Detay'!$5:$5,0)))</f>
        <v>-559066264.67999434</v>
      </c>
    </row>
    <row r="138" spans="1:9">
      <c r="A138" s="20">
        <v>299</v>
      </c>
      <c r="B138" s="21" t="s">
        <v>304</v>
      </c>
      <c r="C138" s="22">
        <f ca="1">INDIRECT("'Aktif Detay'!"&amp;ADDRESS(IFERROR(MATCH(VLOOKUP($E$3,$BC$3:$BE$140,2,0),'Aktif Detay'!$B:$B,0),MATCH(9003,'Aktif Detay'!$B:$B,0)+1),MATCH(A138,'Aktif Detay'!$5:$5,0)))</f>
        <v>0</v>
      </c>
      <c r="D138" s="23">
        <v>592</v>
      </c>
      <c r="E138" s="21" t="s">
        <v>305</v>
      </c>
      <c r="F138" s="22">
        <f ca="1">INDIRECT("'Pasif Detay'!"&amp;ADDRESS(IFERROR(MATCH(VLOOKUP($E$3,$BC$3:$BE$140,2,0),'Pasif Detay'!$B:$B,0),MATCH(9003,'Pasif Detay'!$B:$B,0)+1),MATCH(D138,'Pasif Detay'!$5:$5,0)))</f>
        <v>0</v>
      </c>
    </row>
    <row r="139" spans="1:9">
      <c r="A139" s="20"/>
      <c r="B139" s="16" t="s">
        <v>306</v>
      </c>
      <c r="C139" s="17">
        <f ca="1">+C6+C66</f>
        <v>4381568145488.6875</v>
      </c>
      <c r="D139" s="23"/>
      <c r="E139" s="16" t="s">
        <v>307</v>
      </c>
      <c r="F139" s="17">
        <f ca="1">+F6+F62+F111</f>
        <v>4381568145491.5317</v>
      </c>
      <c r="I139" s="28"/>
    </row>
    <row r="140" spans="1:9">
      <c r="A140" s="29"/>
      <c r="D140" s="12"/>
      <c r="E140" s="30"/>
      <c r="F140" s="31"/>
    </row>
    <row r="141" spans="1:9">
      <c r="B141" s="5" t="s">
        <v>523</v>
      </c>
    </row>
    <row r="142" spans="1:9">
      <c r="B142" s="5" t="s">
        <v>524</v>
      </c>
    </row>
  </sheetData>
  <mergeCells count="5">
    <mergeCell ref="B3:C3"/>
    <mergeCell ref="E3:F3"/>
    <mergeCell ref="H3:J3"/>
    <mergeCell ref="B4:C4"/>
    <mergeCell ref="E4:F4"/>
  </mergeCells>
  <dataValidations count="1">
    <dataValidation type="list" allowBlank="1" showInputMessage="1" showErrorMessage="1" sqref="E3" xr:uid="{C1362797-6CA5-4AF9-AA70-CB6BF3A5F1F8}">
      <formula1>Şirketler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0737-A27C-40A0-B94B-8AC28E1343CC}">
  <dimension ref="A1:EF82"/>
  <sheetViews>
    <sheetView showGridLines="0" zoomScale="80" zoomScaleNormal="80" workbookViewId="0">
      <pane xSplit="3" ySplit="6" topLeftCell="D7" activePane="bottomRight" state="frozen"/>
      <selection activeCell="E3" sqref="E3:F3"/>
      <selection pane="topRight" activeCell="E3" sqref="E3:F3"/>
      <selection pane="bottomLeft" activeCell="E3" sqref="E3:F3"/>
      <selection pane="bottomRight" activeCell="D7" sqref="D7"/>
    </sheetView>
  </sheetViews>
  <sheetFormatPr defaultColWidth="9.140625" defaultRowHeight="12.75"/>
  <cols>
    <col min="1" max="1" width="58.7109375" style="5" customWidth="1"/>
    <col min="2" max="3" width="15.7109375" style="5" customWidth="1"/>
    <col min="4" max="4" width="17.42578125" style="5" bestFit="1" customWidth="1"/>
    <col min="5" max="63" width="15.7109375" style="5" customWidth="1"/>
    <col min="64" max="65" width="17.42578125" style="5" bestFit="1" customWidth="1"/>
    <col min="66" max="72" width="15.7109375" style="5" customWidth="1"/>
    <col min="73" max="73" width="17.42578125" style="5" bestFit="1" customWidth="1"/>
    <col min="74" max="136" width="15.7109375" style="5" customWidth="1"/>
    <col min="137" max="16384" width="9.140625" style="5"/>
  </cols>
  <sheetData>
    <row r="1" spans="1:136" s="36" customFormat="1" ht="15" customHeight="1">
      <c r="A1" s="33" t="s">
        <v>308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</row>
    <row r="2" spans="1:136" s="36" customFormat="1" ht="15" customHeight="1">
      <c r="A2" s="33" t="s">
        <v>309</v>
      </c>
      <c r="B2" s="34" t="s">
        <v>310</v>
      </c>
      <c r="C2" s="34"/>
      <c r="D2" s="34"/>
      <c r="E2" s="34"/>
      <c r="F2" s="34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</row>
    <row r="3" spans="1:136" s="36" customFormat="1" ht="15" customHeight="1">
      <c r="A3" s="33" t="s">
        <v>311</v>
      </c>
      <c r="B3" s="34" t="s">
        <v>310</v>
      </c>
      <c r="C3" s="34"/>
      <c r="D3" s="34"/>
      <c r="E3" s="34"/>
      <c r="F3" s="34"/>
      <c r="G3" s="34"/>
      <c r="H3" s="34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</row>
    <row r="4" spans="1:136" ht="15" customHeight="1"/>
    <row r="5" spans="1:136" ht="22.5" customHeight="1">
      <c r="A5"/>
      <c r="B5"/>
      <c r="C5"/>
      <c r="D5" s="37">
        <v>1</v>
      </c>
      <c r="E5" s="1">
        <v>10</v>
      </c>
      <c r="F5" s="38">
        <v>100</v>
      </c>
      <c r="G5" s="38">
        <v>101</v>
      </c>
      <c r="H5" s="38">
        <v>102</v>
      </c>
      <c r="I5" s="38">
        <v>103</v>
      </c>
      <c r="J5" s="38">
        <v>106</v>
      </c>
      <c r="K5" s="38">
        <v>109</v>
      </c>
      <c r="L5" s="1">
        <v>11</v>
      </c>
      <c r="M5" s="38">
        <v>110</v>
      </c>
      <c r="N5" s="38">
        <v>111</v>
      </c>
      <c r="O5" s="38">
        <v>112</v>
      </c>
      <c r="P5" s="38">
        <v>115</v>
      </c>
      <c r="Q5" s="38">
        <v>116</v>
      </c>
      <c r="R5" s="38">
        <v>117</v>
      </c>
      <c r="S5" s="38">
        <v>118</v>
      </c>
      <c r="T5" s="38">
        <v>119</v>
      </c>
      <c r="U5" s="1">
        <v>12</v>
      </c>
      <c r="V5" s="38">
        <v>120</v>
      </c>
      <c r="W5" s="38">
        <v>121</v>
      </c>
      <c r="X5" s="38">
        <v>122</v>
      </c>
      <c r="Y5" s="38">
        <v>123</v>
      </c>
      <c r="Z5" s="38">
        <v>124</v>
      </c>
      <c r="AA5" s="38">
        <v>125</v>
      </c>
      <c r="AB5" s="38">
        <v>126</v>
      </c>
      <c r="AC5" s="38">
        <v>127</v>
      </c>
      <c r="AD5" s="38">
        <v>128</v>
      </c>
      <c r="AE5" s="38">
        <v>129</v>
      </c>
      <c r="AF5" s="1">
        <v>13</v>
      </c>
      <c r="AG5" s="38">
        <v>131</v>
      </c>
      <c r="AH5" s="38">
        <v>132</v>
      </c>
      <c r="AI5" s="38">
        <v>133</v>
      </c>
      <c r="AJ5" s="38">
        <v>134</v>
      </c>
      <c r="AK5" s="38">
        <v>135</v>
      </c>
      <c r="AL5" s="38">
        <v>136</v>
      </c>
      <c r="AM5" s="38">
        <v>137</v>
      </c>
      <c r="AN5" s="38">
        <v>138</v>
      </c>
      <c r="AO5" s="38">
        <v>139</v>
      </c>
      <c r="AP5" s="1">
        <v>14</v>
      </c>
      <c r="AQ5" s="38">
        <v>141</v>
      </c>
      <c r="AR5" s="38">
        <v>142</v>
      </c>
      <c r="AS5" s="38">
        <v>145</v>
      </c>
      <c r="AT5" s="38">
        <v>146</v>
      </c>
      <c r="AU5" s="38">
        <v>147</v>
      </c>
      <c r="AV5" s="38">
        <v>148</v>
      </c>
      <c r="AW5" s="38">
        <v>149</v>
      </c>
      <c r="AX5" s="1">
        <v>18</v>
      </c>
      <c r="AY5" s="38">
        <v>180</v>
      </c>
      <c r="AZ5" s="38">
        <v>181</v>
      </c>
      <c r="BA5" s="38">
        <v>183</v>
      </c>
      <c r="BB5" s="38">
        <v>189</v>
      </c>
      <c r="BC5" s="1">
        <v>19</v>
      </c>
      <c r="BD5" s="38">
        <v>192</v>
      </c>
      <c r="BE5" s="38">
        <v>193</v>
      </c>
      <c r="BF5" s="38">
        <v>194</v>
      </c>
      <c r="BG5" s="38">
        <v>195</v>
      </c>
      <c r="BH5" s="38">
        <v>196</v>
      </c>
      <c r="BI5" s="38">
        <v>197</v>
      </c>
      <c r="BJ5" s="38">
        <v>198</v>
      </c>
      <c r="BK5" s="38">
        <v>199</v>
      </c>
      <c r="BL5" s="37">
        <v>2</v>
      </c>
      <c r="BM5" s="1">
        <v>22</v>
      </c>
      <c r="BN5" s="38">
        <v>220</v>
      </c>
      <c r="BO5" s="38">
        <v>221</v>
      </c>
      <c r="BP5" s="38">
        <v>222</v>
      </c>
      <c r="BQ5" s="38">
        <v>223</v>
      </c>
      <c r="BR5" s="38">
        <v>224</v>
      </c>
      <c r="BS5" s="38">
        <v>225</v>
      </c>
      <c r="BT5" s="38">
        <v>226</v>
      </c>
      <c r="BU5" s="38">
        <v>227</v>
      </c>
      <c r="BV5" s="38">
        <v>228</v>
      </c>
      <c r="BW5" s="38">
        <v>229</v>
      </c>
      <c r="BX5" s="1">
        <v>23</v>
      </c>
      <c r="BY5" s="38">
        <v>231</v>
      </c>
      <c r="BZ5" s="38">
        <v>232</v>
      </c>
      <c r="CA5" s="38">
        <v>233</v>
      </c>
      <c r="CB5" s="38">
        <v>234</v>
      </c>
      <c r="CC5" s="38">
        <v>235</v>
      </c>
      <c r="CD5" s="38">
        <v>236</v>
      </c>
      <c r="CE5" s="38">
        <v>237</v>
      </c>
      <c r="CF5" s="38">
        <v>238</v>
      </c>
      <c r="CG5" s="38">
        <v>239</v>
      </c>
      <c r="CH5" s="1">
        <v>24</v>
      </c>
      <c r="CI5" s="38">
        <v>241</v>
      </c>
      <c r="CJ5" s="38">
        <v>242</v>
      </c>
      <c r="CK5" s="38">
        <v>245</v>
      </c>
      <c r="CL5" s="38">
        <v>246</v>
      </c>
      <c r="CM5" s="38">
        <v>247</v>
      </c>
      <c r="CN5" s="38">
        <v>248</v>
      </c>
      <c r="CO5" s="38">
        <v>249</v>
      </c>
      <c r="CP5" s="1">
        <v>25</v>
      </c>
      <c r="CQ5" s="38">
        <v>250</v>
      </c>
      <c r="CR5" s="38">
        <v>251</v>
      </c>
      <c r="CS5" s="38">
        <v>252</v>
      </c>
      <c r="CT5" s="38">
        <v>253</v>
      </c>
      <c r="CU5" s="38">
        <v>254</v>
      </c>
      <c r="CV5" s="38">
        <v>255</v>
      </c>
      <c r="CW5" s="38">
        <v>256</v>
      </c>
      <c r="CX5" s="38">
        <v>257</v>
      </c>
      <c r="CY5" s="38">
        <v>258</v>
      </c>
      <c r="CZ5" s="38">
        <v>259</v>
      </c>
      <c r="DA5" s="1">
        <v>26</v>
      </c>
      <c r="DB5" s="38">
        <v>260</v>
      </c>
      <c r="DC5" s="38">
        <v>261</v>
      </c>
      <c r="DD5" s="38">
        <v>262</v>
      </c>
      <c r="DE5" s="38">
        <v>263</v>
      </c>
      <c r="DF5" s="38">
        <v>264</v>
      </c>
      <c r="DG5" s="38">
        <v>265</v>
      </c>
      <c r="DH5" s="38">
        <v>266</v>
      </c>
      <c r="DI5" s="38">
        <v>267</v>
      </c>
      <c r="DJ5" s="38">
        <v>268</v>
      </c>
      <c r="DK5" s="38">
        <v>269</v>
      </c>
      <c r="DL5" s="1">
        <v>27</v>
      </c>
      <c r="DM5" s="38">
        <v>270</v>
      </c>
      <c r="DN5" s="38">
        <v>271</v>
      </c>
      <c r="DO5" s="38">
        <v>272</v>
      </c>
      <c r="DP5" s="38">
        <v>273</v>
      </c>
      <c r="DQ5" s="38">
        <v>277</v>
      </c>
      <c r="DR5" s="38">
        <v>278</v>
      </c>
      <c r="DS5" s="38">
        <v>279</v>
      </c>
      <c r="DT5" s="1">
        <v>28</v>
      </c>
      <c r="DU5" s="38">
        <v>280</v>
      </c>
      <c r="DV5" s="38">
        <v>283</v>
      </c>
      <c r="DW5" s="38">
        <v>289</v>
      </c>
      <c r="DX5" s="1">
        <v>29</v>
      </c>
      <c r="DY5" s="38">
        <v>290</v>
      </c>
      <c r="DZ5" s="38">
        <v>291</v>
      </c>
      <c r="EA5" s="38">
        <v>292</v>
      </c>
      <c r="EB5" s="38">
        <v>293</v>
      </c>
      <c r="EC5" s="38">
        <v>294</v>
      </c>
      <c r="ED5" s="38">
        <v>297</v>
      </c>
      <c r="EE5" s="38">
        <v>298</v>
      </c>
      <c r="EF5" s="38">
        <v>299</v>
      </c>
    </row>
    <row r="6" spans="1:136" ht="80.099999999999994" customHeight="1">
      <c r="A6" s="39" t="s">
        <v>312</v>
      </c>
      <c r="B6" s="39" t="s">
        <v>313</v>
      </c>
      <c r="C6" s="39" t="s">
        <v>314</v>
      </c>
      <c r="D6" s="37" t="s">
        <v>315</v>
      </c>
      <c r="E6" s="1" t="s">
        <v>316</v>
      </c>
      <c r="F6" s="38" t="s">
        <v>317</v>
      </c>
      <c r="G6" s="38" t="s">
        <v>318</v>
      </c>
      <c r="H6" s="38" t="s">
        <v>319</v>
      </c>
      <c r="I6" s="38" t="s">
        <v>320</v>
      </c>
      <c r="J6" s="38" t="s">
        <v>321</v>
      </c>
      <c r="K6" s="38" t="s">
        <v>322</v>
      </c>
      <c r="L6" s="1" t="s">
        <v>323</v>
      </c>
      <c r="M6" s="38" t="s">
        <v>324</v>
      </c>
      <c r="N6" s="38" t="s">
        <v>325</v>
      </c>
      <c r="O6" s="38" t="s">
        <v>326</v>
      </c>
      <c r="P6" s="38" t="s">
        <v>327</v>
      </c>
      <c r="Q6" s="38" t="s">
        <v>328</v>
      </c>
      <c r="R6" s="38" t="s">
        <v>329</v>
      </c>
      <c r="S6" s="38" t="s">
        <v>330</v>
      </c>
      <c r="T6" s="38" t="s">
        <v>331</v>
      </c>
      <c r="U6" s="1" t="s">
        <v>332</v>
      </c>
      <c r="V6" s="38" t="s">
        <v>333</v>
      </c>
      <c r="W6" s="38" t="s">
        <v>334</v>
      </c>
      <c r="X6" s="38" t="s">
        <v>335</v>
      </c>
      <c r="Y6" s="38" t="s">
        <v>336</v>
      </c>
      <c r="Z6" s="38" t="s">
        <v>337</v>
      </c>
      <c r="AA6" s="38" t="s">
        <v>338</v>
      </c>
      <c r="AB6" s="38" t="s">
        <v>339</v>
      </c>
      <c r="AC6" s="38" t="s">
        <v>340</v>
      </c>
      <c r="AD6" s="38" t="s">
        <v>341</v>
      </c>
      <c r="AE6" s="38" t="s">
        <v>342</v>
      </c>
      <c r="AF6" s="1" t="s">
        <v>343</v>
      </c>
      <c r="AG6" s="38" t="s">
        <v>344</v>
      </c>
      <c r="AH6" s="38" t="s">
        <v>345</v>
      </c>
      <c r="AI6" s="38" t="s">
        <v>346</v>
      </c>
      <c r="AJ6" s="38" t="s">
        <v>347</v>
      </c>
      <c r="AK6" s="38" t="s">
        <v>348</v>
      </c>
      <c r="AL6" s="38" t="s">
        <v>349</v>
      </c>
      <c r="AM6" s="38" t="s">
        <v>350</v>
      </c>
      <c r="AN6" s="38" t="s">
        <v>351</v>
      </c>
      <c r="AO6" s="38" t="s">
        <v>352</v>
      </c>
      <c r="AP6" s="1" t="s">
        <v>353</v>
      </c>
      <c r="AQ6" s="38" t="s">
        <v>354</v>
      </c>
      <c r="AR6" s="38" t="s">
        <v>355</v>
      </c>
      <c r="AS6" s="38" t="s">
        <v>356</v>
      </c>
      <c r="AT6" s="38" t="s">
        <v>357</v>
      </c>
      <c r="AU6" s="38" t="s">
        <v>358</v>
      </c>
      <c r="AV6" s="38" t="s">
        <v>359</v>
      </c>
      <c r="AW6" s="38" t="s">
        <v>360</v>
      </c>
      <c r="AX6" s="1" t="s">
        <v>361</v>
      </c>
      <c r="AY6" s="38" t="s">
        <v>361</v>
      </c>
      <c r="AZ6" s="38" t="s">
        <v>362</v>
      </c>
      <c r="BA6" s="38" t="s">
        <v>363</v>
      </c>
      <c r="BB6" s="38" t="s">
        <v>364</v>
      </c>
      <c r="BC6" s="1" t="s">
        <v>365</v>
      </c>
      <c r="BD6" s="38" t="s">
        <v>366</v>
      </c>
      <c r="BE6" s="38" t="s">
        <v>367</v>
      </c>
      <c r="BF6" s="38" t="s">
        <v>368</v>
      </c>
      <c r="BG6" s="38" t="s">
        <v>369</v>
      </c>
      <c r="BH6" s="38" t="s">
        <v>370</v>
      </c>
      <c r="BI6" s="38" t="s">
        <v>371</v>
      </c>
      <c r="BJ6" s="38" t="s">
        <v>372</v>
      </c>
      <c r="BK6" s="38" t="s">
        <v>373</v>
      </c>
      <c r="BL6" s="37" t="s">
        <v>374</v>
      </c>
      <c r="BM6" s="1" t="s">
        <v>332</v>
      </c>
      <c r="BN6" s="38" t="s">
        <v>333</v>
      </c>
      <c r="BO6" s="38" t="s">
        <v>334</v>
      </c>
      <c r="BP6" s="38" t="s">
        <v>335</v>
      </c>
      <c r="BQ6" s="38" t="s">
        <v>336</v>
      </c>
      <c r="BR6" s="38" t="s">
        <v>337</v>
      </c>
      <c r="BS6" s="38" t="s">
        <v>338</v>
      </c>
      <c r="BT6" s="38" t="s">
        <v>339</v>
      </c>
      <c r="BU6" s="38" t="s">
        <v>340</v>
      </c>
      <c r="BV6" s="38" t="s">
        <v>341</v>
      </c>
      <c r="BW6" s="38" t="s">
        <v>342</v>
      </c>
      <c r="BX6" s="1" t="s">
        <v>343</v>
      </c>
      <c r="BY6" s="38" t="s">
        <v>344</v>
      </c>
      <c r="BZ6" s="38" t="s">
        <v>345</v>
      </c>
      <c r="CA6" s="38" t="s">
        <v>346</v>
      </c>
      <c r="CB6" s="38" t="s">
        <v>347</v>
      </c>
      <c r="CC6" s="38" t="s">
        <v>348</v>
      </c>
      <c r="CD6" s="38" t="s">
        <v>349</v>
      </c>
      <c r="CE6" s="38" t="s">
        <v>350</v>
      </c>
      <c r="CF6" s="38" t="s">
        <v>351</v>
      </c>
      <c r="CG6" s="38" t="s">
        <v>352</v>
      </c>
      <c r="CH6" s="1" t="s">
        <v>353</v>
      </c>
      <c r="CI6" s="38" t="s">
        <v>354</v>
      </c>
      <c r="CJ6" s="38" t="s">
        <v>375</v>
      </c>
      <c r="CK6" s="38" t="s">
        <v>356</v>
      </c>
      <c r="CL6" s="38" t="s">
        <v>357</v>
      </c>
      <c r="CM6" s="38" t="s">
        <v>358</v>
      </c>
      <c r="CN6" s="38" t="s">
        <v>359</v>
      </c>
      <c r="CO6" s="38" t="s">
        <v>376</v>
      </c>
      <c r="CP6" s="1" t="s">
        <v>377</v>
      </c>
      <c r="CQ6" s="38" t="s">
        <v>378</v>
      </c>
      <c r="CR6" s="38" t="s">
        <v>379</v>
      </c>
      <c r="CS6" s="38" t="s">
        <v>380</v>
      </c>
      <c r="CT6" s="38" t="s">
        <v>381</v>
      </c>
      <c r="CU6" s="38" t="s">
        <v>382</v>
      </c>
      <c r="CV6" s="38" t="s">
        <v>383</v>
      </c>
      <c r="CW6" s="38" t="s">
        <v>384</v>
      </c>
      <c r="CX6" s="38" t="s">
        <v>385</v>
      </c>
      <c r="CY6" s="38" t="s">
        <v>386</v>
      </c>
      <c r="CZ6" s="38" t="s">
        <v>331</v>
      </c>
      <c r="DA6" s="1" t="s">
        <v>387</v>
      </c>
      <c r="DB6" s="38" t="s">
        <v>388</v>
      </c>
      <c r="DC6" s="38" t="s">
        <v>389</v>
      </c>
      <c r="DD6" s="38" t="s">
        <v>390</v>
      </c>
      <c r="DE6" s="38" t="s">
        <v>391</v>
      </c>
      <c r="DF6" s="38" t="s">
        <v>392</v>
      </c>
      <c r="DG6" s="38" t="s">
        <v>393</v>
      </c>
      <c r="DH6" s="38" t="s">
        <v>394</v>
      </c>
      <c r="DI6" s="38" t="s">
        <v>395</v>
      </c>
      <c r="DJ6" s="38" t="s">
        <v>396</v>
      </c>
      <c r="DK6" s="38" t="s">
        <v>397</v>
      </c>
      <c r="DL6" s="1" t="s">
        <v>398</v>
      </c>
      <c r="DM6" s="38" t="s">
        <v>399</v>
      </c>
      <c r="DN6" s="38" t="s">
        <v>400</v>
      </c>
      <c r="DO6" s="38" t="s">
        <v>401</v>
      </c>
      <c r="DP6" s="38" t="s">
        <v>402</v>
      </c>
      <c r="DQ6" s="38" t="s">
        <v>403</v>
      </c>
      <c r="DR6" s="38" t="s">
        <v>404</v>
      </c>
      <c r="DS6" s="38" t="s">
        <v>405</v>
      </c>
      <c r="DT6" s="1" t="s">
        <v>406</v>
      </c>
      <c r="DU6" s="38" t="s">
        <v>406</v>
      </c>
      <c r="DV6" s="38" t="s">
        <v>363</v>
      </c>
      <c r="DW6" s="38" t="s">
        <v>407</v>
      </c>
      <c r="DX6" s="1" t="s">
        <v>408</v>
      </c>
      <c r="DY6" s="38" t="s">
        <v>409</v>
      </c>
      <c r="DZ6" s="38" t="s">
        <v>410</v>
      </c>
      <c r="EA6" s="38" t="s">
        <v>411</v>
      </c>
      <c r="EB6" s="38" t="s">
        <v>367</v>
      </c>
      <c r="EC6" s="38" t="s">
        <v>368</v>
      </c>
      <c r="ED6" s="38" t="s">
        <v>412</v>
      </c>
      <c r="EE6" s="38" t="s">
        <v>413</v>
      </c>
      <c r="EF6" s="38" t="s">
        <v>414</v>
      </c>
    </row>
    <row r="7" spans="1:136" ht="13.5" customHeight="1">
      <c r="A7" s="40" t="s">
        <v>0</v>
      </c>
      <c r="B7" s="41">
        <v>1001</v>
      </c>
      <c r="C7" s="42" t="s">
        <v>415</v>
      </c>
      <c r="D7" s="43">
        <v>4395787943.5900002</v>
      </c>
      <c r="E7" s="43">
        <v>2351986522.8500004</v>
      </c>
      <c r="F7" s="43">
        <v>0</v>
      </c>
      <c r="G7" s="43">
        <v>0</v>
      </c>
      <c r="H7" s="43">
        <v>2351986522.8500004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1742252683.1300001</v>
      </c>
      <c r="V7" s="43">
        <v>1780006874.5600002</v>
      </c>
      <c r="W7" s="43">
        <v>-37754191.43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98949835.260000005</v>
      </c>
      <c r="AE7" s="43">
        <v>-98949835.260000005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10753224.960000001</v>
      </c>
      <c r="AQ7" s="43">
        <v>0</v>
      </c>
      <c r="AR7" s="43">
        <v>0</v>
      </c>
      <c r="AS7" s="43">
        <v>3300000</v>
      </c>
      <c r="AT7" s="43">
        <v>0</v>
      </c>
      <c r="AU7" s="43">
        <v>7453224.96</v>
      </c>
      <c r="AV7" s="43">
        <v>0</v>
      </c>
      <c r="AW7" s="43">
        <v>0</v>
      </c>
      <c r="AX7" s="43">
        <v>201411136.46000001</v>
      </c>
      <c r="AY7" s="43">
        <v>180790240.58000001</v>
      </c>
      <c r="AZ7" s="43">
        <v>4244659.07</v>
      </c>
      <c r="BA7" s="43">
        <v>0</v>
      </c>
      <c r="BB7" s="43">
        <v>16376236.810000001</v>
      </c>
      <c r="BC7" s="43">
        <v>89384376.189999998</v>
      </c>
      <c r="BD7" s="43">
        <v>0</v>
      </c>
      <c r="BE7" s="43">
        <v>89379126.719999999</v>
      </c>
      <c r="BF7" s="43">
        <v>0</v>
      </c>
      <c r="BG7" s="43">
        <v>5249.47</v>
      </c>
      <c r="BH7" s="43">
        <v>0</v>
      </c>
      <c r="BI7" s="43">
        <v>0</v>
      </c>
      <c r="BJ7" s="43">
        <v>0</v>
      </c>
      <c r="BK7" s="43">
        <v>0</v>
      </c>
      <c r="BL7" s="43">
        <v>136235020.06</v>
      </c>
      <c r="BM7" s="43">
        <v>0</v>
      </c>
      <c r="BN7" s="43">
        <v>0</v>
      </c>
      <c r="BO7" s="43">
        <v>0</v>
      </c>
      <c r="BP7" s="43">
        <v>0</v>
      </c>
      <c r="BQ7" s="43">
        <v>0</v>
      </c>
      <c r="BR7" s="43">
        <v>0</v>
      </c>
      <c r="BS7" s="43">
        <v>0</v>
      </c>
      <c r="BT7" s="43">
        <v>0</v>
      </c>
      <c r="BU7" s="43">
        <v>0</v>
      </c>
      <c r="BV7" s="43">
        <v>0</v>
      </c>
      <c r="BW7" s="43">
        <v>0</v>
      </c>
      <c r="BX7" s="43">
        <v>0</v>
      </c>
      <c r="BY7" s="43">
        <v>0</v>
      </c>
      <c r="BZ7" s="43">
        <v>0</v>
      </c>
      <c r="CA7" s="43">
        <v>0</v>
      </c>
      <c r="CB7" s="43">
        <v>0</v>
      </c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0</v>
      </c>
      <c r="CK7" s="43">
        <v>0</v>
      </c>
      <c r="CL7" s="43">
        <v>0</v>
      </c>
      <c r="CM7" s="43">
        <v>0</v>
      </c>
      <c r="CN7" s="43">
        <v>0</v>
      </c>
      <c r="CO7" s="43">
        <v>0</v>
      </c>
      <c r="CP7" s="43">
        <v>0</v>
      </c>
      <c r="CQ7" s="43">
        <v>0</v>
      </c>
      <c r="CR7" s="43">
        <v>0</v>
      </c>
      <c r="CS7" s="43">
        <v>0</v>
      </c>
      <c r="CT7" s="43">
        <v>0</v>
      </c>
      <c r="CU7" s="43">
        <v>0</v>
      </c>
      <c r="CV7" s="43">
        <v>0</v>
      </c>
      <c r="CW7" s="43">
        <v>0</v>
      </c>
      <c r="CX7" s="43">
        <v>0</v>
      </c>
      <c r="CY7" s="43">
        <v>0</v>
      </c>
      <c r="CZ7" s="43">
        <v>0</v>
      </c>
      <c r="DA7" s="43">
        <v>79172977.659999996</v>
      </c>
      <c r="DB7" s="43">
        <v>0</v>
      </c>
      <c r="DC7" s="43">
        <v>0</v>
      </c>
      <c r="DD7" s="43">
        <v>0</v>
      </c>
      <c r="DE7" s="43">
        <v>0</v>
      </c>
      <c r="DF7" s="43">
        <v>26896417.27</v>
      </c>
      <c r="DG7" s="43">
        <v>6122433.5999999996</v>
      </c>
      <c r="DH7" s="43">
        <v>47512842.990000002</v>
      </c>
      <c r="DI7" s="43">
        <v>45389465.460000001</v>
      </c>
      <c r="DJ7" s="43">
        <v>-46748181.659999996</v>
      </c>
      <c r="DK7" s="43">
        <v>0</v>
      </c>
      <c r="DL7" s="43">
        <v>9733.4000000000015</v>
      </c>
      <c r="DM7" s="43">
        <v>40099.300000000003</v>
      </c>
      <c r="DN7" s="43">
        <v>0</v>
      </c>
      <c r="DO7" s="43">
        <v>0</v>
      </c>
      <c r="DP7" s="43">
        <v>0</v>
      </c>
      <c r="DQ7" s="43">
        <v>0</v>
      </c>
      <c r="DR7" s="43">
        <v>-30365.9</v>
      </c>
      <c r="DS7" s="43">
        <v>0</v>
      </c>
      <c r="DT7" s="43">
        <v>0</v>
      </c>
      <c r="DU7" s="43">
        <v>0</v>
      </c>
      <c r="DV7" s="43">
        <v>0</v>
      </c>
      <c r="DW7" s="43">
        <v>0</v>
      </c>
      <c r="DX7" s="43">
        <v>57052309</v>
      </c>
      <c r="DY7" s="43">
        <v>0</v>
      </c>
      <c r="DZ7" s="43">
        <v>0</v>
      </c>
      <c r="EA7" s="43">
        <v>0</v>
      </c>
      <c r="EB7" s="43">
        <v>0</v>
      </c>
      <c r="EC7" s="43">
        <v>57052309</v>
      </c>
      <c r="ED7" s="43">
        <v>0</v>
      </c>
      <c r="EE7" s="43">
        <v>0</v>
      </c>
      <c r="EF7" s="43">
        <v>0</v>
      </c>
    </row>
    <row r="8" spans="1:136" ht="13.5" customHeight="1">
      <c r="A8" s="40" t="s">
        <v>27</v>
      </c>
      <c r="B8" s="41">
        <v>1003</v>
      </c>
      <c r="C8" s="42" t="s">
        <v>415</v>
      </c>
      <c r="D8" s="43">
        <v>37466004010.850006</v>
      </c>
      <c r="E8" s="43">
        <v>11948980204.23</v>
      </c>
      <c r="F8" s="43">
        <v>0</v>
      </c>
      <c r="G8" s="43">
        <v>0</v>
      </c>
      <c r="H8" s="43">
        <v>7706215335.8499994</v>
      </c>
      <c r="I8" s="43">
        <v>0</v>
      </c>
      <c r="J8" s="43">
        <v>4242764868.3800001</v>
      </c>
      <c r="K8" s="43">
        <v>0</v>
      </c>
      <c r="L8" s="43">
        <v>13858727343.57</v>
      </c>
      <c r="M8" s="43">
        <v>2741306133.77</v>
      </c>
      <c r="N8" s="43">
        <v>749624338.66000009</v>
      </c>
      <c r="O8" s="43">
        <v>10364375936.139999</v>
      </c>
      <c r="P8" s="43">
        <v>0</v>
      </c>
      <c r="Q8" s="43">
        <v>0</v>
      </c>
      <c r="R8" s="43">
        <v>3420935</v>
      </c>
      <c r="S8" s="43">
        <v>0</v>
      </c>
      <c r="T8" s="43">
        <v>0</v>
      </c>
      <c r="U8" s="43">
        <v>6173014823.5200005</v>
      </c>
      <c r="V8" s="43">
        <v>6145342616.4499998</v>
      </c>
      <c r="W8" s="43">
        <v>-44925285.120000005</v>
      </c>
      <c r="X8" s="43">
        <v>0</v>
      </c>
      <c r="Y8" s="43">
        <v>-12437103</v>
      </c>
      <c r="Z8" s="43">
        <v>0</v>
      </c>
      <c r="AA8" s="43">
        <v>0</v>
      </c>
      <c r="AB8" s="43">
        <v>0</v>
      </c>
      <c r="AC8" s="43">
        <v>0</v>
      </c>
      <c r="AD8" s="43">
        <v>1101597898.3800001</v>
      </c>
      <c r="AE8" s="43">
        <v>-1016563303.1900001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58302554.560000002</v>
      </c>
      <c r="AQ8" s="43">
        <v>0</v>
      </c>
      <c r="AR8" s="43">
        <v>0</v>
      </c>
      <c r="AS8" s="43">
        <v>3855137.35</v>
      </c>
      <c r="AT8" s="43">
        <v>54447417.210000001</v>
      </c>
      <c r="AU8" s="43">
        <v>0</v>
      </c>
      <c r="AV8" s="43">
        <v>0</v>
      </c>
      <c r="AW8" s="43">
        <v>0</v>
      </c>
      <c r="AX8" s="43">
        <v>5104735319.170001</v>
      </c>
      <c r="AY8" s="43">
        <v>4487423093.7000008</v>
      </c>
      <c r="AZ8" s="43">
        <v>0</v>
      </c>
      <c r="BA8" s="43">
        <v>3249113.71</v>
      </c>
      <c r="BB8" s="43">
        <v>614063111.75999999</v>
      </c>
      <c r="BC8" s="43">
        <v>322243765.80000001</v>
      </c>
      <c r="BD8" s="43">
        <v>0</v>
      </c>
      <c r="BE8" s="43">
        <v>320633350.80000001</v>
      </c>
      <c r="BF8" s="43">
        <v>0</v>
      </c>
      <c r="BG8" s="43">
        <v>13986</v>
      </c>
      <c r="BH8" s="43">
        <v>1596429</v>
      </c>
      <c r="BI8" s="43">
        <v>0</v>
      </c>
      <c r="BJ8" s="43">
        <v>0</v>
      </c>
      <c r="BK8" s="43">
        <v>0</v>
      </c>
      <c r="BL8" s="43">
        <v>2647834615.5600004</v>
      </c>
      <c r="BM8" s="43">
        <v>0</v>
      </c>
      <c r="BN8" s="43">
        <v>0</v>
      </c>
      <c r="BO8" s="43">
        <v>0</v>
      </c>
      <c r="BP8" s="43">
        <v>0</v>
      </c>
      <c r="BQ8" s="43">
        <v>0</v>
      </c>
      <c r="BR8" s="43">
        <v>0</v>
      </c>
      <c r="BS8" s="43">
        <v>0</v>
      </c>
      <c r="BT8" s="43">
        <v>0</v>
      </c>
      <c r="BU8" s="43">
        <v>0</v>
      </c>
      <c r="BV8" s="43">
        <v>0</v>
      </c>
      <c r="BW8" s="43">
        <v>0</v>
      </c>
      <c r="BX8" s="43">
        <v>0</v>
      </c>
      <c r="BY8" s="43">
        <v>0</v>
      </c>
      <c r="BZ8" s="43">
        <v>0</v>
      </c>
      <c r="CA8" s="43">
        <v>0</v>
      </c>
      <c r="CB8" s="43">
        <v>0</v>
      </c>
      <c r="CC8" s="43">
        <v>0</v>
      </c>
      <c r="CD8" s="43">
        <v>0</v>
      </c>
      <c r="CE8" s="43">
        <v>0</v>
      </c>
      <c r="CF8" s="43">
        <v>0</v>
      </c>
      <c r="CG8" s="43">
        <v>0</v>
      </c>
      <c r="CH8" s="43">
        <v>0</v>
      </c>
      <c r="CI8" s="43">
        <v>0</v>
      </c>
      <c r="CJ8" s="43">
        <v>0</v>
      </c>
      <c r="CK8" s="43">
        <v>0</v>
      </c>
      <c r="CL8" s="43">
        <v>0</v>
      </c>
      <c r="CM8" s="43">
        <v>0</v>
      </c>
      <c r="CN8" s="43">
        <v>0</v>
      </c>
      <c r="CO8" s="43">
        <v>0</v>
      </c>
      <c r="CP8" s="43">
        <v>17094836.079999998</v>
      </c>
      <c r="CQ8" s="43">
        <v>0</v>
      </c>
      <c r="CR8" s="43">
        <v>17094836.079999998</v>
      </c>
      <c r="CS8" s="43">
        <v>0</v>
      </c>
      <c r="CT8" s="43">
        <v>0</v>
      </c>
      <c r="CU8" s="43">
        <v>0</v>
      </c>
      <c r="CV8" s="43">
        <v>0</v>
      </c>
      <c r="CW8" s="43">
        <v>0</v>
      </c>
      <c r="CX8" s="43">
        <v>0</v>
      </c>
      <c r="CY8" s="43">
        <v>0</v>
      </c>
      <c r="CZ8" s="43">
        <v>0</v>
      </c>
      <c r="DA8" s="43">
        <v>604306243.1400001</v>
      </c>
      <c r="DB8" s="43">
        <v>0</v>
      </c>
      <c r="DC8" s="43">
        <v>0</v>
      </c>
      <c r="DD8" s="43">
        <v>5328.86</v>
      </c>
      <c r="DE8" s="43">
        <v>0</v>
      </c>
      <c r="DF8" s="43">
        <v>202953145.60000002</v>
      </c>
      <c r="DG8" s="43">
        <v>794892.03</v>
      </c>
      <c r="DH8" s="43">
        <v>343874028.12</v>
      </c>
      <c r="DI8" s="43">
        <v>265172072.30000001</v>
      </c>
      <c r="DJ8" s="43">
        <v>-208493223.76999998</v>
      </c>
      <c r="DK8" s="43">
        <v>0</v>
      </c>
      <c r="DL8" s="43">
        <v>1171666997.6500001</v>
      </c>
      <c r="DM8" s="43">
        <v>1381544678.77</v>
      </c>
      <c r="DN8" s="43">
        <v>0</v>
      </c>
      <c r="DO8" s="43">
        <v>0</v>
      </c>
      <c r="DP8" s="43">
        <v>425891403.74000001</v>
      </c>
      <c r="DQ8" s="43">
        <v>0</v>
      </c>
      <c r="DR8" s="43">
        <v>-635769084.86000001</v>
      </c>
      <c r="DS8" s="43">
        <v>0</v>
      </c>
      <c r="DT8" s="43">
        <v>17851673.719999999</v>
      </c>
      <c r="DU8" s="43">
        <v>0</v>
      </c>
      <c r="DV8" s="43">
        <v>0</v>
      </c>
      <c r="DW8" s="43">
        <v>17851673.719999999</v>
      </c>
      <c r="DX8" s="43">
        <v>836914864.97000003</v>
      </c>
      <c r="DY8" s="43">
        <v>0</v>
      </c>
      <c r="DZ8" s="43">
        <v>0</v>
      </c>
      <c r="EA8" s="43">
        <v>0</v>
      </c>
      <c r="EB8" s="43">
        <v>0</v>
      </c>
      <c r="EC8" s="43">
        <v>836914864.97000003</v>
      </c>
      <c r="ED8" s="43">
        <v>0</v>
      </c>
      <c r="EE8" s="43">
        <v>0</v>
      </c>
      <c r="EF8" s="43">
        <v>0</v>
      </c>
    </row>
    <row r="9" spans="1:136" ht="13.5" customHeight="1">
      <c r="A9" s="40" t="s">
        <v>28</v>
      </c>
      <c r="B9" s="41">
        <v>1004</v>
      </c>
      <c r="C9" s="42" t="s">
        <v>415</v>
      </c>
      <c r="D9" s="43">
        <v>172520265028.41995</v>
      </c>
      <c r="E9" s="43">
        <v>82466230307.189987</v>
      </c>
      <c r="F9" s="43">
        <v>0</v>
      </c>
      <c r="G9" s="43">
        <v>0</v>
      </c>
      <c r="H9" s="43">
        <v>68367134231.919998</v>
      </c>
      <c r="I9" s="43">
        <v>0</v>
      </c>
      <c r="J9" s="43">
        <v>14093592175.709997</v>
      </c>
      <c r="K9" s="43">
        <v>5503899.5599999996</v>
      </c>
      <c r="L9" s="43">
        <v>40861727248.260002</v>
      </c>
      <c r="M9" s="43">
        <v>39428773195.93</v>
      </c>
      <c r="N9" s="43">
        <v>0</v>
      </c>
      <c r="O9" s="43">
        <v>1432954052.3299999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35078143509.649994</v>
      </c>
      <c r="V9" s="43">
        <v>34604999199.590004</v>
      </c>
      <c r="W9" s="43">
        <v>-149846746.47999999</v>
      </c>
      <c r="X9" s="43">
        <v>702989073.94999993</v>
      </c>
      <c r="Y9" s="43">
        <v>-80281068.459999993</v>
      </c>
      <c r="Z9" s="43">
        <v>136280.85</v>
      </c>
      <c r="AA9" s="43">
        <v>0</v>
      </c>
      <c r="AB9" s="43">
        <v>0</v>
      </c>
      <c r="AC9" s="43">
        <v>0</v>
      </c>
      <c r="AD9" s="43">
        <v>2230401910.0300002</v>
      </c>
      <c r="AE9" s="43">
        <v>-2230255139.8299999</v>
      </c>
      <c r="AF9" s="43">
        <v>74167206.749999985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74167206.749999985</v>
      </c>
      <c r="AM9" s="43">
        <v>0</v>
      </c>
      <c r="AN9" s="43">
        <v>0</v>
      </c>
      <c r="AO9" s="43">
        <v>0</v>
      </c>
      <c r="AP9" s="43">
        <v>176980810.72000003</v>
      </c>
      <c r="AQ9" s="43">
        <v>0</v>
      </c>
      <c r="AR9" s="43">
        <v>0</v>
      </c>
      <c r="AS9" s="43">
        <v>0</v>
      </c>
      <c r="AT9" s="43">
        <v>176980810.72</v>
      </c>
      <c r="AU9" s="43">
        <v>0</v>
      </c>
      <c r="AV9" s="43">
        <v>6490936.3900000006</v>
      </c>
      <c r="AW9" s="43">
        <v>-6490936.3900000006</v>
      </c>
      <c r="AX9" s="43">
        <v>12182219851.240002</v>
      </c>
      <c r="AY9" s="43">
        <v>11586448550.500002</v>
      </c>
      <c r="AZ9" s="43">
        <v>16619.25</v>
      </c>
      <c r="BA9" s="43">
        <v>0</v>
      </c>
      <c r="BB9" s="43">
        <v>595754681.49000001</v>
      </c>
      <c r="BC9" s="43">
        <v>1680796094.6099999</v>
      </c>
      <c r="BD9" s="43">
        <v>0</v>
      </c>
      <c r="BE9" s="43">
        <v>1669973669.28</v>
      </c>
      <c r="BF9" s="43">
        <v>0</v>
      </c>
      <c r="BG9" s="43">
        <v>2992232.0300000003</v>
      </c>
      <c r="BH9" s="43">
        <v>7830193.2999999998</v>
      </c>
      <c r="BI9" s="43">
        <v>0</v>
      </c>
      <c r="BJ9" s="43">
        <v>0</v>
      </c>
      <c r="BK9" s="43">
        <v>0</v>
      </c>
      <c r="BL9" s="43">
        <v>23990427655.250004</v>
      </c>
      <c r="BM9" s="43">
        <v>0</v>
      </c>
      <c r="BN9" s="43">
        <v>0</v>
      </c>
      <c r="BO9" s="43">
        <v>0</v>
      </c>
      <c r="BP9" s="43">
        <v>0</v>
      </c>
      <c r="BQ9" s="43">
        <v>0</v>
      </c>
      <c r="BR9" s="43">
        <v>0</v>
      </c>
      <c r="BS9" s="43">
        <v>0</v>
      </c>
      <c r="BT9" s="43">
        <v>0</v>
      </c>
      <c r="BU9" s="43">
        <v>0</v>
      </c>
      <c r="BV9" s="43">
        <v>0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43">
        <v>0</v>
      </c>
      <c r="CC9" s="43">
        <v>0</v>
      </c>
      <c r="CD9" s="43">
        <v>0</v>
      </c>
      <c r="CE9" s="43">
        <v>0</v>
      </c>
      <c r="CF9" s="43">
        <v>0</v>
      </c>
      <c r="CG9" s="43">
        <v>0</v>
      </c>
      <c r="CH9" s="43">
        <v>385529.71</v>
      </c>
      <c r="CI9" s="43">
        <v>0</v>
      </c>
      <c r="CJ9" s="43">
        <v>0</v>
      </c>
      <c r="CK9" s="43">
        <v>385529.71</v>
      </c>
      <c r="CL9" s="43">
        <v>0</v>
      </c>
      <c r="CM9" s="43">
        <v>0</v>
      </c>
      <c r="CN9" s="43">
        <v>0</v>
      </c>
      <c r="CO9" s="43">
        <v>0</v>
      </c>
      <c r="CP9" s="43">
        <v>18436745147.240002</v>
      </c>
      <c r="CQ9" s="43">
        <v>0</v>
      </c>
      <c r="CR9" s="43">
        <v>79149602.150000006</v>
      </c>
      <c r="CS9" s="43">
        <v>0</v>
      </c>
      <c r="CT9" s="43">
        <v>18357595545.09</v>
      </c>
      <c r="CU9" s="43">
        <v>0</v>
      </c>
      <c r="CV9" s="43">
        <v>0</v>
      </c>
      <c r="CW9" s="43">
        <v>0</v>
      </c>
      <c r="CX9" s="43">
        <v>0</v>
      </c>
      <c r="CY9" s="43">
        <v>0</v>
      </c>
      <c r="CZ9" s="43">
        <v>0</v>
      </c>
      <c r="DA9" s="43">
        <v>2163185414.5599999</v>
      </c>
      <c r="DB9" s="43">
        <v>525108045.59000003</v>
      </c>
      <c r="DC9" s="43">
        <v>0</v>
      </c>
      <c r="DD9" s="43">
        <v>980754697.35000002</v>
      </c>
      <c r="DE9" s="43">
        <v>0</v>
      </c>
      <c r="DF9" s="43">
        <v>926802317.03999996</v>
      </c>
      <c r="DG9" s="43">
        <v>780985.4</v>
      </c>
      <c r="DH9" s="43">
        <v>52367264.789999999</v>
      </c>
      <c r="DI9" s="43">
        <v>292557057.98000002</v>
      </c>
      <c r="DJ9" s="43">
        <v>-649716256.43000007</v>
      </c>
      <c r="DK9" s="43">
        <v>34531302.840000004</v>
      </c>
      <c r="DL9" s="43">
        <v>1360291273.1299999</v>
      </c>
      <c r="DM9" s="43">
        <v>1483100929.8199999</v>
      </c>
      <c r="DN9" s="43">
        <v>0</v>
      </c>
      <c r="DO9" s="43">
        <v>0</v>
      </c>
      <c r="DP9" s="43">
        <v>0</v>
      </c>
      <c r="DQ9" s="43">
        <v>0</v>
      </c>
      <c r="DR9" s="43">
        <v>-681520287.37</v>
      </c>
      <c r="DS9" s="43">
        <v>558710630.67999995</v>
      </c>
      <c r="DT9" s="43">
        <v>63102545.400000006</v>
      </c>
      <c r="DU9" s="43">
        <v>0</v>
      </c>
      <c r="DV9" s="43">
        <v>0</v>
      </c>
      <c r="DW9" s="43">
        <v>63102545.400000006</v>
      </c>
      <c r="DX9" s="43">
        <v>1966717745.21</v>
      </c>
      <c r="DY9" s="43">
        <v>0</v>
      </c>
      <c r="DZ9" s="43">
        <v>0</v>
      </c>
      <c r="EA9" s="43">
        <v>0</v>
      </c>
      <c r="EB9" s="43">
        <v>0</v>
      </c>
      <c r="EC9" s="43">
        <v>1966717745.21</v>
      </c>
      <c r="ED9" s="43">
        <v>0</v>
      </c>
      <c r="EE9" s="43">
        <v>0</v>
      </c>
      <c r="EF9" s="43">
        <v>0</v>
      </c>
    </row>
    <row r="10" spans="1:136" ht="13.5" customHeight="1">
      <c r="A10" s="40" t="s">
        <v>31</v>
      </c>
      <c r="B10" s="41">
        <v>1005</v>
      </c>
      <c r="C10" s="42" t="s">
        <v>415</v>
      </c>
      <c r="D10" s="43">
        <v>139509336770.45001</v>
      </c>
      <c r="E10" s="43">
        <v>38872587231.230164</v>
      </c>
      <c r="F10" s="43">
        <v>251923.29</v>
      </c>
      <c r="G10" s="43">
        <v>0</v>
      </c>
      <c r="H10" s="43">
        <v>28029227800.170166</v>
      </c>
      <c r="I10" s="43">
        <v>-6311.09</v>
      </c>
      <c r="J10" s="43">
        <v>10843113818.860001</v>
      </c>
      <c r="K10" s="43">
        <v>0</v>
      </c>
      <c r="L10" s="43">
        <v>60995842340.900009</v>
      </c>
      <c r="M10" s="43">
        <v>30640486876.830002</v>
      </c>
      <c r="N10" s="43">
        <v>0</v>
      </c>
      <c r="O10" s="43">
        <v>30355355464.070004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27211596742.469772</v>
      </c>
      <c r="V10" s="43">
        <v>20745785513.089775</v>
      </c>
      <c r="W10" s="43">
        <v>-382319633.13</v>
      </c>
      <c r="X10" s="43">
        <v>3625507602.5800028</v>
      </c>
      <c r="Y10" s="43">
        <v>0</v>
      </c>
      <c r="Z10" s="43">
        <v>3222623259.9299979</v>
      </c>
      <c r="AA10" s="43">
        <v>0</v>
      </c>
      <c r="AB10" s="43">
        <v>0</v>
      </c>
      <c r="AC10" s="43">
        <v>0</v>
      </c>
      <c r="AD10" s="43">
        <v>3581324679.5099988</v>
      </c>
      <c r="AE10" s="43">
        <v>-3581324679.5100002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877927903.83999991</v>
      </c>
      <c r="AQ10" s="43">
        <v>0</v>
      </c>
      <c r="AR10" s="43">
        <v>0</v>
      </c>
      <c r="AS10" s="43">
        <v>0</v>
      </c>
      <c r="AT10" s="43">
        <v>877927903.83999991</v>
      </c>
      <c r="AU10" s="43">
        <v>0</v>
      </c>
      <c r="AV10" s="43">
        <v>0</v>
      </c>
      <c r="AW10" s="43">
        <v>0</v>
      </c>
      <c r="AX10" s="43">
        <v>10480458324.690079</v>
      </c>
      <c r="AY10" s="43">
        <v>10473124070.600079</v>
      </c>
      <c r="AZ10" s="43">
        <v>0</v>
      </c>
      <c r="BA10" s="43">
        <v>5915310.4500000002</v>
      </c>
      <c r="BB10" s="43">
        <v>1418943.64</v>
      </c>
      <c r="BC10" s="43">
        <v>1070924227.3200101</v>
      </c>
      <c r="BD10" s="43">
        <v>7188318.0700000003</v>
      </c>
      <c r="BE10" s="43">
        <v>0</v>
      </c>
      <c r="BF10" s="43">
        <v>0</v>
      </c>
      <c r="BG10" s="43">
        <v>1061106688.11</v>
      </c>
      <c r="BH10" s="43">
        <v>2629221.14</v>
      </c>
      <c r="BI10" s="43">
        <v>0</v>
      </c>
      <c r="BJ10" s="43">
        <v>1.0000000000000001E-5</v>
      </c>
      <c r="BK10" s="43">
        <v>0</v>
      </c>
      <c r="BL10" s="43">
        <v>11824724691.680002</v>
      </c>
      <c r="BM10" s="43">
        <v>0</v>
      </c>
      <c r="BN10" s="43">
        <v>0</v>
      </c>
      <c r="BO10" s="43">
        <v>0</v>
      </c>
      <c r="BP10" s="43">
        <v>0</v>
      </c>
      <c r="BQ10" s="43">
        <v>0</v>
      </c>
      <c r="BR10" s="43">
        <v>0</v>
      </c>
      <c r="BS10" s="43">
        <v>0</v>
      </c>
      <c r="BT10" s="43">
        <v>0</v>
      </c>
      <c r="BU10" s="43">
        <v>0</v>
      </c>
      <c r="BV10" s="43">
        <v>0</v>
      </c>
      <c r="BW10" s="43">
        <v>0</v>
      </c>
      <c r="BX10" s="43">
        <v>0</v>
      </c>
      <c r="BY10" s="43">
        <v>0</v>
      </c>
      <c r="BZ10" s="43">
        <v>0</v>
      </c>
      <c r="CA10" s="43">
        <v>0</v>
      </c>
      <c r="CB10" s="43">
        <v>0</v>
      </c>
      <c r="CC10" s="43">
        <v>0</v>
      </c>
      <c r="CD10" s="43">
        <v>0</v>
      </c>
      <c r="CE10" s="43">
        <v>0</v>
      </c>
      <c r="CF10" s="43">
        <v>0</v>
      </c>
      <c r="CG10" s="43">
        <v>0</v>
      </c>
      <c r="CH10" s="43">
        <v>552554.61</v>
      </c>
      <c r="CI10" s="43">
        <v>0</v>
      </c>
      <c r="CJ10" s="43">
        <v>0</v>
      </c>
      <c r="CK10" s="43">
        <v>324554.61</v>
      </c>
      <c r="CL10" s="43">
        <v>228000</v>
      </c>
      <c r="CM10" s="43">
        <v>0</v>
      </c>
      <c r="CN10" s="43">
        <v>0</v>
      </c>
      <c r="CO10" s="43">
        <v>0</v>
      </c>
      <c r="CP10" s="43">
        <v>8849400000</v>
      </c>
      <c r="CQ10" s="43">
        <v>0</v>
      </c>
      <c r="CR10" s="43">
        <v>8849400000</v>
      </c>
      <c r="CS10" s="43">
        <v>0</v>
      </c>
      <c r="CT10" s="43">
        <v>0</v>
      </c>
      <c r="CU10" s="43">
        <v>0</v>
      </c>
      <c r="CV10" s="43">
        <v>0</v>
      </c>
      <c r="CW10" s="43">
        <v>0</v>
      </c>
      <c r="CX10" s="43">
        <v>0</v>
      </c>
      <c r="CY10" s="43">
        <v>0</v>
      </c>
      <c r="CZ10" s="43">
        <v>0</v>
      </c>
      <c r="DA10" s="43">
        <v>1514868647.4300001</v>
      </c>
      <c r="DB10" s="43">
        <v>856337000</v>
      </c>
      <c r="DC10" s="43">
        <v>0</v>
      </c>
      <c r="DD10" s="43">
        <v>166171600</v>
      </c>
      <c r="DE10" s="43">
        <v>406611252.16000003</v>
      </c>
      <c r="DF10" s="43">
        <v>43735231.93</v>
      </c>
      <c r="DG10" s="43">
        <v>96463430.069999993</v>
      </c>
      <c r="DH10" s="43">
        <v>67804867.890000001</v>
      </c>
      <c r="DI10" s="43">
        <v>379977865.62</v>
      </c>
      <c r="DJ10" s="43">
        <v>-502232600.24000001</v>
      </c>
      <c r="DK10" s="43">
        <v>0</v>
      </c>
      <c r="DL10" s="43">
        <v>1091817257.2</v>
      </c>
      <c r="DM10" s="43">
        <v>142</v>
      </c>
      <c r="DN10" s="43">
        <v>16250000</v>
      </c>
      <c r="DO10" s="43">
        <v>0</v>
      </c>
      <c r="DP10" s="43">
        <v>86866490.959999993</v>
      </c>
      <c r="DQ10" s="43">
        <v>919550155.48000002</v>
      </c>
      <c r="DR10" s="43">
        <v>-655898855.94000006</v>
      </c>
      <c r="DS10" s="43">
        <v>725049324.70000005</v>
      </c>
      <c r="DT10" s="43">
        <v>104745303.44</v>
      </c>
      <c r="DU10" s="43">
        <v>104745303.44</v>
      </c>
      <c r="DV10" s="43">
        <v>0</v>
      </c>
      <c r="DW10" s="43">
        <v>0</v>
      </c>
      <c r="DX10" s="43">
        <v>263340929</v>
      </c>
      <c r="DY10" s="43">
        <v>0</v>
      </c>
      <c r="DZ10" s="43">
        <v>0</v>
      </c>
      <c r="EA10" s="43">
        <v>0</v>
      </c>
      <c r="EB10" s="43">
        <v>0</v>
      </c>
      <c r="EC10" s="43">
        <v>263340929</v>
      </c>
      <c r="ED10" s="43">
        <v>0</v>
      </c>
      <c r="EE10" s="43">
        <v>0</v>
      </c>
      <c r="EF10" s="43">
        <v>0</v>
      </c>
    </row>
    <row r="11" spans="1:136" ht="13.5" customHeight="1">
      <c r="A11" s="40" t="s">
        <v>34</v>
      </c>
      <c r="B11" s="41">
        <v>1006</v>
      </c>
      <c r="C11" s="42" t="s">
        <v>415</v>
      </c>
      <c r="D11" s="43">
        <v>27867420276.970001</v>
      </c>
      <c r="E11" s="43">
        <v>17205316455.420002</v>
      </c>
      <c r="F11" s="43">
        <v>0</v>
      </c>
      <c r="G11" s="43">
        <v>0</v>
      </c>
      <c r="H11" s="43">
        <v>13214204923.52</v>
      </c>
      <c r="I11" s="43">
        <v>0</v>
      </c>
      <c r="J11" s="43">
        <v>3991111531.9000001</v>
      </c>
      <c r="K11" s="43">
        <v>0</v>
      </c>
      <c r="L11" s="43">
        <v>6145295649.79</v>
      </c>
      <c r="M11" s="43">
        <v>0</v>
      </c>
      <c r="N11" s="43">
        <v>1280028648.2399998</v>
      </c>
      <c r="O11" s="43">
        <v>4865267001.5500002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2534607703.3700004</v>
      </c>
      <c r="V11" s="43">
        <v>2541820954.8400002</v>
      </c>
      <c r="W11" s="43">
        <v>-8303424.2200000007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756119728.86000001</v>
      </c>
      <c r="AE11" s="43">
        <v>-755029556.11000001</v>
      </c>
      <c r="AF11" s="43">
        <v>2186171.17</v>
      </c>
      <c r="AG11" s="43">
        <v>314660</v>
      </c>
      <c r="AH11" s="43">
        <v>0</v>
      </c>
      <c r="AI11" s="43">
        <v>0</v>
      </c>
      <c r="AJ11" s="43">
        <v>0</v>
      </c>
      <c r="AK11" s="43">
        <v>-0.52</v>
      </c>
      <c r="AL11" s="43">
        <v>1871511.69</v>
      </c>
      <c r="AM11" s="43">
        <v>0</v>
      </c>
      <c r="AN11" s="43">
        <v>0</v>
      </c>
      <c r="AO11" s="43">
        <v>0</v>
      </c>
      <c r="AP11" s="43">
        <v>1672585.02</v>
      </c>
      <c r="AQ11" s="43">
        <v>0</v>
      </c>
      <c r="AR11" s="43">
        <v>0</v>
      </c>
      <c r="AS11" s="43">
        <v>810199.07</v>
      </c>
      <c r="AT11" s="43">
        <v>862385.95</v>
      </c>
      <c r="AU11" s="43">
        <v>0</v>
      </c>
      <c r="AV11" s="43">
        <v>0</v>
      </c>
      <c r="AW11" s="43">
        <v>0</v>
      </c>
      <c r="AX11" s="43">
        <v>1452309400.25</v>
      </c>
      <c r="AY11" s="43">
        <v>1338745707.3</v>
      </c>
      <c r="AZ11" s="43">
        <v>0</v>
      </c>
      <c r="BA11" s="43">
        <v>0</v>
      </c>
      <c r="BB11" s="43">
        <v>113563692.95</v>
      </c>
      <c r="BC11" s="43">
        <v>526032311.94999993</v>
      </c>
      <c r="BD11" s="43">
        <v>0</v>
      </c>
      <c r="BE11" s="43">
        <v>518207267.89999998</v>
      </c>
      <c r="BF11" s="43">
        <v>0</v>
      </c>
      <c r="BG11" s="43">
        <v>708277.27</v>
      </c>
      <c r="BH11" s="43">
        <v>0</v>
      </c>
      <c r="BI11" s="43">
        <v>0</v>
      </c>
      <c r="BJ11" s="43">
        <v>7116766.7800000003</v>
      </c>
      <c r="BK11" s="43">
        <v>0</v>
      </c>
      <c r="BL11" s="43">
        <v>1924625116.05</v>
      </c>
      <c r="BM11" s="43">
        <v>0</v>
      </c>
      <c r="BN11" s="43">
        <v>0</v>
      </c>
      <c r="BO11" s="43">
        <v>0</v>
      </c>
      <c r="BP11" s="43">
        <v>0</v>
      </c>
      <c r="BQ11" s="43">
        <v>0</v>
      </c>
      <c r="BR11" s="43">
        <v>0</v>
      </c>
      <c r="BS11" s="43">
        <v>0</v>
      </c>
      <c r="BT11" s="43">
        <v>0</v>
      </c>
      <c r="BU11" s="43">
        <v>0</v>
      </c>
      <c r="BV11" s="43">
        <v>0</v>
      </c>
      <c r="BW11" s="43">
        <v>0</v>
      </c>
      <c r="BX11" s="43">
        <v>0</v>
      </c>
      <c r="BY11" s="43">
        <v>0</v>
      </c>
      <c r="BZ11" s="43">
        <v>0</v>
      </c>
      <c r="CA11" s="43">
        <v>0</v>
      </c>
      <c r="CB11" s="43">
        <v>0</v>
      </c>
      <c r="CC11" s="43">
        <v>0</v>
      </c>
      <c r="CD11" s="43">
        <v>0</v>
      </c>
      <c r="CE11" s="43">
        <v>0</v>
      </c>
      <c r="CF11" s="43">
        <v>0</v>
      </c>
      <c r="CG11" s="43">
        <v>0</v>
      </c>
      <c r="CH11" s="43">
        <v>189769.37</v>
      </c>
      <c r="CI11" s="43">
        <v>0</v>
      </c>
      <c r="CJ11" s="43">
        <v>0</v>
      </c>
      <c r="CK11" s="43">
        <v>189769.37</v>
      </c>
      <c r="CL11" s="43">
        <v>0</v>
      </c>
      <c r="CM11" s="43">
        <v>0</v>
      </c>
      <c r="CN11" s="43">
        <v>0</v>
      </c>
      <c r="CO11" s="43">
        <v>0</v>
      </c>
      <c r="CP11" s="43">
        <v>29757356.09</v>
      </c>
      <c r="CQ11" s="43">
        <v>10238660.359999999</v>
      </c>
      <c r="CR11" s="43">
        <v>20000000</v>
      </c>
      <c r="CS11" s="43">
        <v>0</v>
      </c>
      <c r="CT11" s="43">
        <v>0</v>
      </c>
      <c r="CU11" s="43">
        <v>0</v>
      </c>
      <c r="CV11" s="43">
        <v>0</v>
      </c>
      <c r="CW11" s="43">
        <v>0</v>
      </c>
      <c r="CX11" s="43">
        <v>0</v>
      </c>
      <c r="CY11" s="43">
        <v>0</v>
      </c>
      <c r="CZ11" s="43">
        <v>-481304.27</v>
      </c>
      <c r="DA11" s="43">
        <v>1354379523.78</v>
      </c>
      <c r="DB11" s="43">
        <v>21605000</v>
      </c>
      <c r="DC11" s="43">
        <v>0</v>
      </c>
      <c r="DD11" s="43">
        <v>1322932258.1700001</v>
      </c>
      <c r="DE11" s="43">
        <v>0</v>
      </c>
      <c r="DF11" s="43">
        <v>30890811.039999999</v>
      </c>
      <c r="DG11" s="43">
        <v>56692895.539999999</v>
      </c>
      <c r="DH11" s="43">
        <v>2390821.04</v>
      </c>
      <c r="DI11" s="43">
        <v>1634922.73</v>
      </c>
      <c r="DJ11" s="43">
        <v>-84417184.74000001</v>
      </c>
      <c r="DK11" s="43">
        <v>2650000</v>
      </c>
      <c r="DL11" s="43">
        <v>14514675.239999998</v>
      </c>
      <c r="DM11" s="43">
        <v>38108320.049999997</v>
      </c>
      <c r="DN11" s="43">
        <v>0</v>
      </c>
      <c r="DO11" s="43">
        <v>0</v>
      </c>
      <c r="DP11" s="43">
        <v>0</v>
      </c>
      <c r="DQ11" s="43">
        <v>0</v>
      </c>
      <c r="DR11" s="43">
        <v>-23593644.809999999</v>
      </c>
      <c r="DS11" s="43">
        <v>0</v>
      </c>
      <c r="DT11" s="43">
        <v>0</v>
      </c>
      <c r="DU11" s="43">
        <v>0</v>
      </c>
      <c r="DV11" s="43">
        <v>0</v>
      </c>
      <c r="DW11" s="43">
        <v>0</v>
      </c>
      <c r="DX11" s="43">
        <v>525783791.56999999</v>
      </c>
      <c r="DY11" s="43">
        <v>0</v>
      </c>
      <c r="DZ11" s="43">
        <v>0</v>
      </c>
      <c r="EA11" s="43">
        <v>0</v>
      </c>
      <c r="EB11" s="43">
        <v>0</v>
      </c>
      <c r="EC11" s="43">
        <v>525783791.56999999</v>
      </c>
      <c r="ED11" s="43">
        <v>0</v>
      </c>
      <c r="EE11" s="43">
        <v>0</v>
      </c>
      <c r="EF11" s="43">
        <v>0</v>
      </c>
    </row>
    <row r="12" spans="1:136" ht="13.5" customHeight="1">
      <c r="A12" s="40" t="s">
        <v>37</v>
      </c>
      <c r="B12" s="41">
        <v>1007</v>
      </c>
      <c r="C12" s="42" t="s">
        <v>415</v>
      </c>
      <c r="D12" s="43">
        <v>1499205611.7700002</v>
      </c>
      <c r="E12" s="43">
        <v>794514283.63</v>
      </c>
      <c r="F12" s="43">
        <v>0</v>
      </c>
      <c r="G12" s="43">
        <v>0</v>
      </c>
      <c r="H12" s="43">
        <v>794514283.63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591054102.03000009</v>
      </c>
      <c r="V12" s="43">
        <v>591054102.03000009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943412</v>
      </c>
      <c r="AE12" s="43">
        <v>-943411.99999999988</v>
      </c>
      <c r="AF12" s="43">
        <v>16309056.139999995</v>
      </c>
      <c r="AG12" s="43">
        <v>0</v>
      </c>
      <c r="AH12" s="43">
        <v>0</v>
      </c>
      <c r="AI12" s="43">
        <v>0</v>
      </c>
      <c r="AJ12" s="43">
        <v>0</v>
      </c>
      <c r="AK12" s="43">
        <v>333297.62</v>
      </c>
      <c r="AL12" s="43">
        <v>15975758.519999996</v>
      </c>
      <c r="AM12" s="43">
        <v>0</v>
      </c>
      <c r="AN12" s="43">
        <v>0</v>
      </c>
      <c r="AO12" s="43">
        <v>0</v>
      </c>
      <c r="AP12" s="43">
        <v>28963.25</v>
      </c>
      <c r="AQ12" s="43">
        <v>0</v>
      </c>
      <c r="AR12" s="43">
        <v>0</v>
      </c>
      <c r="AS12" s="43">
        <v>0</v>
      </c>
      <c r="AT12" s="43">
        <v>28963.25</v>
      </c>
      <c r="AU12" s="43">
        <v>0</v>
      </c>
      <c r="AV12" s="43">
        <v>0</v>
      </c>
      <c r="AW12" s="43">
        <v>0</v>
      </c>
      <c r="AX12" s="43">
        <v>77429479.760000005</v>
      </c>
      <c r="AY12" s="43">
        <v>65595624.109999999</v>
      </c>
      <c r="AZ12" s="43">
        <v>0</v>
      </c>
      <c r="BA12" s="43">
        <v>0</v>
      </c>
      <c r="BB12" s="43">
        <v>11833855.65</v>
      </c>
      <c r="BC12" s="43">
        <v>19869726.959999997</v>
      </c>
      <c r="BD12" s="43">
        <v>0</v>
      </c>
      <c r="BE12" s="43">
        <v>19869726.959999997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193539740.15999997</v>
      </c>
      <c r="BM12" s="43">
        <v>61831791.710000001</v>
      </c>
      <c r="BN12" s="43">
        <v>61831791.710000001</v>
      </c>
      <c r="BO12" s="43">
        <v>0</v>
      </c>
      <c r="BP12" s="43">
        <v>0</v>
      </c>
      <c r="BQ12" s="43">
        <v>0</v>
      </c>
      <c r="BR12" s="43">
        <v>0</v>
      </c>
      <c r="BS12" s="43">
        <v>0</v>
      </c>
      <c r="BT12" s="43">
        <v>0</v>
      </c>
      <c r="BU12" s="43">
        <v>0</v>
      </c>
      <c r="BV12" s="43">
        <v>0</v>
      </c>
      <c r="BW12" s="43">
        <v>0</v>
      </c>
      <c r="BX12" s="43">
        <v>8044089.8699999973</v>
      </c>
      <c r="BY12" s="43">
        <v>8044089.8699999973</v>
      </c>
      <c r="BZ12" s="43">
        <v>0</v>
      </c>
      <c r="CA12" s="43">
        <v>0</v>
      </c>
      <c r="CB12" s="43">
        <v>0</v>
      </c>
      <c r="CC12" s="43">
        <v>0</v>
      </c>
      <c r="CD12" s="43">
        <v>0</v>
      </c>
      <c r="CE12" s="43">
        <v>0</v>
      </c>
      <c r="CF12" s="43">
        <v>0</v>
      </c>
      <c r="CG12" s="43">
        <v>0</v>
      </c>
      <c r="CH12" s="43">
        <v>0</v>
      </c>
      <c r="CI12" s="43">
        <v>0</v>
      </c>
      <c r="CJ12" s="43">
        <v>0</v>
      </c>
      <c r="CK12" s="43">
        <v>0</v>
      </c>
      <c r="CL12" s="43">
        <v>0</v>
      </c>
      <c r="CM12" s="43">
        <v>0</v>
      </c>
      <c r="CN12" s="43">
        <v>0</v>
      </c>
      <c r="CO12" s="43">
        <v>0</v>
      </c>
      <c r="CP12" s="43">
        <v>0</v>
      </c>
      <c r="CQ12" s="43">
        <v>0</v>
      </c>
      <c r="CR12" s="43">
        <v>0</v>
      </c>
      <c r="CS12" s="43">
        <v>0</v>
      </c>
      <c r="CT12" s="43">
        <v>0</v>
      </c>
      <c r="CU12" s="43">
        <v>0</v>
      </c>
      <c r="CV12" s="43">
        <v>0</v>
      </c>
      <c r="CW12" s="43">
        <v>0</v>
      </c>
      <c r="CX12" s="43">
        <v>0</v>
      </c>
      <c r="CY12" s="43">
        <v>0</v>
      </c>
      <c r="CZ12" s="43">
        <v>0</v>
      </c>
      <c r="DA12" s="43">
        <v>22478008.019999996</v>
      </c>
      <c r="DB12" s="43">
        <v>0</v>
      </c>
      <c r="DC12" s="43">
        <v>0</v>
      </c>
      <c r="DD12" s="43">
        <v>0</v>
      </c>
      <c r="DE12" s="43">
        <v>0</v>
      </c>
      <c r="DF12" s="43">
        <v>9269895.5300000012</v>
      </c>
      <c r="DG12" s="43">
        <v>0</v>
      </c>
      <c r="DH12" s="43">
        <v>0</v>
      </c>
      <c r="DI12" s="43">
        <v>42631435.57</v>
      </c>
      <c r="DJ12" s="43">
        <v>-29423323.080000006</v>
      </c>
      <c r="DK12" s="43">
        <v>0</v>
      </c>
      <c r="DL12" s="43">
        <v>0</v>
      </c>
      <c r="DM12" s="43">
        <v>0</v>
      </c>
      <c r="DN12" s="43">
        <v>0</v>
      </c>
      <c r="DO12" s="43">
        <v>0</v>
      </c>
      <c r="DP12" s="43">
        <v>0</v>
      </c>
      <c r="DQ12" s="43">
        <v>235635.56</v>
      </c>
      <c r="DR12" s="43">
        <v>-235635.56</v>
      </c>
      <c r="DS12" s="43">
        <v>0</v>
      </c>
      <c r="DT12" s="43">
        <v>12863583.82</v>
      </c>
      <c r="DU12" s="43">
        <v>12863583.82</v>
      </c>
      <c r="DV12" s="43">
        <v>0</v>
      </c>
      <c r="DW12" s="43">
        <v>0</v>
      </c>
      <c r="DX12" s="43">
        <v>88322266.739999995</v>
      </c>
      <c r="DY12" s="43">
        <v>0</v>
      </c>
      <c r="DZ12" s="43">
        <v>0</v>
      </c>
      <c r="EA12" s="43">
        <v>0</v>
      </c>
      <c r="EB12" s="43">
        <v>0</v>
      </c>
      <c r="EC12" s="43">
        <v>88322266.739999995</v>
      </c>
      <c r="ED12" s="43">
        <v>0</v>
      </c>
      <c r="EE12" s="43">
        <v>0</v>
      </c>
      <c r="EF12" s="43">
        <v>0</v>
      </c>
    </row>
    <row r="13" spans="1:136" ht="13.5" customHeight="1">
      <c r="A13" s="40" t="s">
        <v>40</v>
      </c>
      <c r="B13" s="41">
        <v>1008</v>
      </c>
      <c r="C13" s="42" t="s">
        <v>415</v>
      </c>
      <c r="D13" s="43">
        <v>28194335736.200001</v>
      </c>
      <c r="E13" s="43">
        <v>13201421442.829998</v>
      </c>
      <c r="F13" s="43">
        <v>0</v>
      </c>
      <c r="G13" s="43">
        <v>0</v>
      </c>
      <c r="H13" s="43">
        <v>13056161998.609999</v>
      </c>
      <c r="I13" s="43">
        <v>0</v>
      </c>
      <c r="J13" s="43">
        <v>145259444.22</v>
      </c>
      <c r="K13" s="43">
        <v>0</v>
      </c>
      <c r="L13" s="43">
        <v>8643914156.2799988</v>
      </c>
      <c r="M13" s="43">
        <v>3311225626.5100002</v>
      </c>
      <c r="N13" s="43">
        <v>1363207275.4000001</v>
      </c>
      <c r="O13" s="43">
        <v>3969481254.3699999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2919383166.1299992</v>
      </c>
      <c r="V13" s="43">
        <v>3072264252.4299994</v>
      </c>
      <c r="W13" s="43">
        <v>-152881086.30000001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788635354.34000003</v>
      </c>
      <c r="AE13" s="43">
        <v>-788635354.34000003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60303341.810000002</v>
      </c>
      <c r="AQ13" s="43">
        <v>0</v>
      </c>
      <c r="AR13" s="43">
        <v>0</v>
      </c>
      <c r="AS13" s="43">
        <v>5960857.4400000004</v>
      </c>
      <c r="AT13" s="43">
        <v>57895500.850000001</v>
      </c>
      <c r="AU13" s="43">
        <v>-3553016.48</v>
      </c>
      <c r="AV13" s="43">
        <v>0</v>
      </c>
      <c r="AW13" s="43">
        <v>0</v>
      </c>
      <c r="AX13" s="43">
        <v>2545768345.4700003</v>
      </c>
      <c r="AY13" s="43">
        <v>1769125761.46</v>
      </c>
      <c r="AZ13" s="43">
        <v>0</v>
      </c>
      <c r="BA13" s="43">
        <v>0</v>
      </c>
      <c r="BB13" s="43">
        <v>776642584.00999999</v>
      </c>
      <c r="BC13" s="43">
        <v>823545283.68000007</v>
      </c>
      <c r="BD13" s="43">
        <v>0</v>
      </c>
      <c r="BE13" s="43">
        <v>761808541.83000004</v>
      </c>
      <c r="BF13" s="43">
        <v>0</v>
      </c>
      <c r="BG13" s="43">
        <v>60813031.130000003</v>
      </c>
      <c r="BH13" s="43">
        <v>923710.72</v>
      </c>
      <c r="BI13" s="43">
        <v>0</v>
      </c>
      <c r="BJ13" s="43">
        <v>0</v>
      </c>
      <c r="BK13" s="43">
        <v>0</v>
      </c>
      <c r="BL13" s="43">
        <v>4647704148.9399996</v>
      </c>
      <c r="BM13" s="43">
        <v>0</v>
      </c>
      <c r="BN13" s="43">
        <v>0</v>
      </c>
      <c r="BO13" s="43">
        <v>0</v>
      </c>
      <c r="BP13" s="43">
        <v>0</v>
      </c>
      <c r="BQ13" s="43">
        <v>0</v>
      </c>
      <c r="BR13" s="43">
        <v>0</v>
      </c>
      <c r="BS13" s="43">
        <v>0</v>
      </c>
      <c r="BT13" s="43">
        <v>0</v>
      </c>
      <c r="BU13" s="43">
        <v>0</v>
      </c>
      <c r="BV13" s="43">
        <v>0</v>
      </c>
      <c r="BW13" s="43">
        <v>0</v>
      </c>
      <c r="BX13" s="43">
        <v>0</v>
      </c>
      <c r="BY13" s="43">
        <v>0</v>
      </c>
      <c r="BZ13" s="43">
        <v>0</v>
      </c>
      <c r="CA13" s="43">
        <v>0</v>
      </c>
      <c r="CB13" s="43">
        <v>0</v>
      </c>
      <c r="CC13" s="43">
        <v>0</v>
      </c>
      <c r="CD13" s="43">
        <v>0</v>
      </c>
      <c r="CE13" s="43">
        <v>0</v>
      </c>
      <c r="CF13" s="43">
        <v>0</v>
      </c>
      <c r="CG13" s="43">
        <v>0</v>
      </c>
      <c r="CH13" s="43">
        <v>50000</v>
      </c>
      <c r="CI13" s="43">
        <v>0</v>
      </c>
      <c r="CJ13" s="43">
        <v>0</v>
      </c>
      <c r="CK13" s="43">
        <v>50000</v>
      </c>
      <c r="CL13" s="43">
        <v>0</v>
      </c>
      <c r="CM13" s="43">
        <v>0</v>
      </c>
      <c r="CN13" s="43">
        <v>0</v>
      </c>
      <c r="CO13" s="43">
        <v>0</v>
      </c>
      <c r="CP13" s="43">
        <v>16651655.43</v>
      </c>
      <c r="CQ13" s="43">
        <v>16651655.43</v>
      </c>
      <c r="CR13" s="43">
        <v>0</v>
      </c>
      <c r="CS13" s="43">
        <v>0</v>
      </c>
      <c r="CT13" s="43">
        <v>0</v>
      </c>
      <c r="CU13" s="43">
        <v>0</v>
      </c>
      <c r="CV13" s="43">
        <v>0</v>
      </c>
      <c r="CW13" s="43">
        <v>0</v>
      </c>
      <c r="CX13" s="43">
        <v>0</v>
      </c>
      <c r="CY13" s="43">
        <v>0</v>
      </c>
      <c r="CZ13" s="43">
        <v>0</v>
      </c>
      <c r="DA13" s="43">
        <v>4125497743.5700002</v>
      </c>
      <c r="DB13" s="43">
        <v>3925570000</v>
      </c>
      <c r="DC13" s="43">
        <v>0</v>
      </c>
      <c r="DD13" s="43">
        <v>0</v>
      </c>
      <c r="DE13" s="43">
        <v>0</v>
      </c>
      <c r="DF13" s="43">
        <v>81241328.439999998</v>
      </c>
      <c r="DG13" s="43">
        <v>11693046.34</v>
      </c>
      <c r="DH13" s="43">
        <v>15162030.65</v>
      </c>
      <c r="DI13" s="43">
        <v>220787778.66000003</v>
      </c>
      <c r="DJ13" s="43">
        <v>-128956440.52</v>
      </c>
      <c r="DK13" s="43">
        <v>0</v>
      </c>
      <c r="DL13" s="43">
        <v>292953779.82999992</v>
      </c>
      <c r="DM13" s="43">
        <v>89246553.719999999</v>
      </c>
      <c r="DN13" s="43">
        <v>0</v>
      </c>
      <c r="DO13" s="43">
        <v>0</v>
      </c>
      <c r="DP13" s="43">
        <v>269880593.20999998</v>
      </c>
      <c r="DQ13" s="43">
        <v>0</v>
      </c>
      <c r="DR13" s="43">
        <v>-66173367.100000001</v>
      </c>
      <c r="DS13" s="43">
        <v>0</v>
      </c>
      <c r="DT13" s="43">
        <v>0</v>
      </c>
      <c r="DU13" s="43">
        <v>0</v>
      </c>
      <c r="DV13" s="43">
        <v>0</v>
      </c>
      <c r="DW13" s="43">
        <v>0</v>
      </c>
      <c r="DX13" s="43">
        <v>212550970.11000001</v>
      </c>
      <c r="DY13" s="43">
        <v>0</v>
      </c>
      <c r="DZ13" s="43">
        <v>0</v>
      </c>
      <c r="EA13" s="43">
        <v>0</v>
      </c>
      <c r="EB13" s="43">
        <v>0</v>
      </c>
      <c r="EC13" s="43">
        <v>212550970.11000001</v>
      </c>
      <c r="ED13" s="43">
        <v>0</v>
      </c>
      <c r="EE13" s="43">
        <v>0</v>
      </c>
      <c r="EF13" s="43">
        <v>0</v>
      </c>
    </row>
    <row r="14" spans="1:136" ht="13.5" customHeight="1">
      <c r="A14" s="40" t="s">
        <v>43</v>
      </c>
      <c r="B14" s="41">
        <v>1009</v>
      </c>
      <c r="C14" s="42" t="s">
        <v>415</v>
      </c>
      <c r="D14" s="43">
        <v>131502708199.40001</v>
      </c>
      <c r="E14" s="43">
        <v>31841853401.139996</v>
      </c>
      <c r="F14" s="43">
        <v>0</v>
      </c>
      <c r="G14" s="43">
        <v>0</v>
      </c>
      <c r="H14" s="43">
        <v>18738425856.489998</v>
      </c>
      <c r="I14" s="43">
        <v>0.1</v>
      </c>
      <c r="J14" s="43">
        <v>13103427544.549999</v>
      </c>
      <c r="K14" s="43">
        <v>0</v>
      </c>
      <c r="L14" s="43">
        <v>54882147208</v>
      </c>
      <c r="M14" s="43">
        <v>40377564715.07</v>
      </c>
      <c r="N14" s="43">
        <v>14506582492.93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-2000000</v>
      </c>
      <c r="U14" s="43">
        <v>29988148979.009995</v>
      </c>
      <c r="V14" s="43">
        <v>27782919564.629997</v>
      </c>
      <c r="W14" s="43">
        <v>-506864937.75999993</v>
      </c>
      <c r="X14" s="43">
        <v>0</v>
      </c>
      <c r="Y14" s="43">
        <v>0</v>
      </c>
      <c r="Z14" s="43">
        <v>2712094351.5100002</v>
      </c>
      <c r="AA14" s="43">
        <v>0</v>
      </c>
      <c r="AB14" s="43">
        <v>0</v>
      </c>
      <c r="AC14" s="43">
        <v>0</v>
      </c>
      <c r="AD14" s="43">
        <v>3356076225.3000002</v>
      </c>
      <c r="AE14" s="43">
        <v>-3356076224.6700001</v>
      </c>
      <c r="AF14" s="43">
        <v>348425.38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348425.38</v>
      </c>
      <c r="AM14" s="43">
        <v>0</v>
      </c>
      <c r="AN14" s="43">
        <v>0</v>
      </c>
      <c r="AO14" s="43">
        <v>0</v>
      </c>
      <c r="AP14" s="43">
        <v>1300308328.05</v>
      </c>
      <c r="AQ14" s="43">
        <v>0</v>
      </c>
      <c r="AR14" s="43">
        <v>0</v>
      </c>
      <c r="AS14" s="43">
        <v>2463688.84</v>
      </c>
      <c r="AT14" s="43">
        <v>1297844639.21</v>
      </c>
      <c r="AU14" s="43">
        <v>0</v>
      </c>
      <c r="AV14" s="43">
        <v>128924.89</v>
      </c>
      <c r="AW14" s="43">
        <v>-128924.89</v>
      </c>
      <c r="AX14" s="43">
        <v>13052835639.470001</v>
      </c>
      <c r="AY14" s="43">
        <v>9037023528.2900009</v>
      </c>
      <c r="AZ14" s="43">
        <v>0</v>
      </c>
      <c r="BA14" s="43">
        <v>40064744.009999998</v>
      </c>
      <c r="BB14" s="43">
        <v>3975747367.1700001</v>
      </c>
      <c r="BC14" s="43">
        <v>437066218.35000002</v>
      </c>
      <c r="BD14" s="43">
        <v>95441303.099999994</v>
      </c>
      <c r="BE14" s="43">
        <v>341206005.75999999</v>
      </c>
      <c r="BF14" s="43">
        <v>0</v>
      </c>
      <c r="BG14" s="43">
        <v>0</v>
      </c>
      <c r="BH14" s="43">
        <v>418909.49</v>
      </c>
      <c r="BI14" s="43">
        <v>0</v>
      </c>
      <c r="BJ14" s="43">
        <v>0</v>
      </c>
      <c r="BK14" s="43">
        <v>0</v>
      </c>
      <c r="BL14" s="43">
        <v>2704819315.5500002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17262968.09</v>
      </c>
      <c r="CQ14" s="43">
        <v>17262968.09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1177979092.04</v>
      </c>
      <c r="DB14" s="43">
        <v>510068400.68000001</v>
      </c>
      <c r="DC14" s="43">
        <v>0</v>
      </c>
      <c r="DD14" s="43">
        <v>54993766.020000003</v>
      </c>
      <c r="DE14" s="43">
        <v>0</v>
      </c>
      <c r="DF14" s="43">
        <v>456649508.42000002</v>
      </c>
      <c r="DG14" s="43">
        <v>70886863.340000004</v>
      </c>
      <c r="DH14" s="43">
        <v>26470005.440000001</v>
      </c>
      <c r="DI14" s="43">
        <v>258260265.51000002</v>
      </c>
      <c r="DJ14" s="43">
        <v>-465717335.36000001</v>
      </c>
      <c r="DK14" s="43">
        <v>266367617.99000001</v>
      </c>
      <c r="DL14" s="43">
        <v>1061127029.2000003</v>
      </c>
      <c r="DM14" s="43">
        <v>1832325407.6300001</v>
      </c>
      <c r="DN14" s="43">
        <v>227241291.96000001</v>
      </c>
      <c r="DO14" s="43">
        <v>0</v>
      </c>
      <c r="DP14" s="43">
        <v>0</v>
      </c>
      <c r="DQ14" s="43">
        <v>2801468</v>
      </c>
      <c r="DR14" s="43">
        <v>-1001241138.3899999</v>
      </c>
      <c r="DS14" s="43">
        <v>0</v>
      </c>
      <c r="DT14" s="43">
        <v>0</v>
      </c>
      <c r="DU14" s="43">
        <v>0</v>
      </c>
      <c r="DV14" s="43">
        <v>0</v>
      </c>
      <c r="DW14" s="43">
        <v>0</v>
      </c>
      <c r="DX14" s="43">
        <v>448450226.22000003</v>
      </c>
      <c r="DY14" s="43">
        <v>0</v>
      </c>
      <c r="DZ14" s="43">
        <v>0</v>
      </c>
      <c r="EA14" s="43">
        <v>0</v>
      </c>
      <c r="EB14" s="43">
        <v>0</v>
      </c>
      <c r="EC14" s="43">
        <v>448450226.22000003</v>
      </c>
      <c r="ED14" s="43">
        <v>0</v>
      </c>
      <c r="EE14" s="43">
        <v>0</v>
      </c>
      <c r="EF14" s="43">
        <v>0</v>
      </c>
    </row>
    <row r="15" spans="1:136" ht="13.5" customHeight="1">
      <c r="A15" s="40" t="s">
        <v>46</v>
      </c>
      <c r="B15" s="41">
        <v>1010</v>
      </c>
      <c r="C15" s="42" t="s">
        <v>415</v>
      </c>
      <c r="D15" s="43">
        <v>7888381628.8099985</v>
      </c>
      <c r="E15" s="43">
        <v>3389650274.9200001</v>
      </c>
      <c r="F15" s="43">
        <v>0</v>
      </c>
      <c r="G15" s="43">
        <v>0</v>
      </c>
      <c r="H15" s="43">
        <v>3360584240.3400002</v>
      </c>
      <c r="I15" s="43">
        <v>0</v>
      </c>
      <c r="J15" s="43">
        <v>29066034.580000013</v>
      </c>
      <c r="K15" s="43">
        <v>0</v>
      </c>
      <c r="L15" s="43">
        <v>3285017655.4699998</v>
      </c>
      <c r="M15" s="43">
        <v>440414038.70000029</v>
      </c>
      <c r="N15" s="43">
        <v>0</v>
      </c>
      <c r="O15" s="43">
        <v>2844603616.7699995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462762567.58999985</v>
      </c>
      <c r="V15" s="43">
        <v>462542993.33999985</v>
      </c>
      <c r="W15" s="43">
        <v>0</v>
      </c>
      <c r="X15" s="43">
        <v>219574.25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750971894.61999941</v>
      </c>
      <c r="AY15" s="43">
        <v>725031717.18999946</v>
      </c>
      <c r="AZ15" s="43">
        <v>0</v>
      </c>
      <c r="BA15" s="43">
        <v>0</v>
      </c>
      <c r="BB15" s="43">
        <v>25940177.429999996</v>
      </c>
      <c r="BC15" s="43">
        <v>-20763.789999999106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-20763.789999999106</v>
      </c>
      <c r="BK15" s="43">
        <v>0</v>
      </c>
      <c r="BL15" s="43">
        <v>5510608329.9500036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23339282.460000008</v>
      </c>
      <c r="DB15" s="43">
        <v>0</v>
      </c>
      <c r="DC15" s="43">
        <v>0</v>
      </c>
      <c r="DD15" s="43">
        <v>0</v>
      </c>
      <c r="DE15" s="43">
        <v>0</v>
      </c>
      <c r="DF15" s="43">
        <v>36614123.840000004</v>
      </c>
      <c r="DG15" s="43">
        <v>0</v>
      </c>
      <c r="DH15" s="43">
        <v>617504.61</v>
      </c>
      <c r="DI15" s="43">
        <v>18974455.84</v>
      </c>
      <c r="DJ15" s="43">
        <v>-32866801.829999998</v>
      </c>
      <c r="DK15" s="43">
        <v>0</v>
      </c>
      <c r="DL15" s="43">
        <v>94570716.950000018</v>
      </c>
      <c r="DM15" s="43">
        <v>158749509.70000002</v>
      </c>
      <c r="DN15" s="43">
        <v>0</v>
      </c>
      <c r="DO15" s="43">
        <v>0</v>
      </c>
      <c r="DP15" s="43">
        <v>0</v>
      </c>
      <c r="DQ15" s="43">
        <v>0</v>
      </c>
      <c r="DR15" s="43">
        <v>-64178792.75</v>
      </c>
      <c r="DS15" s="43">
        <v>0</v>
      </c>
      <c r="DT15" s="43">
        <v>5358916905.4200039</v>
      </c>
      <c r="DU15" s="43">
        <v>5358916905.4100037</v>
      </c>
      <c r="DV15" s="43">
        <v>0</v>
      </c>
      <c r="DW15" s="43">
        <v>1.0000000002037268E-2</v>
      </c>
      <c r="DX15" s="43">
        <v>33781425.119999997</v>
      </c>
      <c r="DY15" s="43">
        <v>0</v>
      </c>
      <c r="DZ15" s="43">
        <v>0</v>
      </c>
      <c r="EA15" s="43">
        <v>0</v>
      </c>
      <c r="EB15" s="43">
        <v>0</v>
      </c>
      <c r="EC15" s="43">
        <v>33781425.119999997</v>
      </c>
      <c r="ED15" s="43">
        <v>0</v>
      </c>
      <c r="EE15" s="43">
        <v>0</v>
      </c>
      <c r="EF15" s="43">
        <v>0</v>
      </c>
    </row>
    <row r="16" spans="1:136" ht="13.5" customHeight="1">
      <c r="A16" s="40" t="s">
        <v>49</v>
      </c>
      <c r="B16" s="41">
        <v>1011</v>
      </c>
      <c r="C16" s="42" t="s">
        <v>415</v>
      </c>
      <c r="D16" s="43">
        <v>1761407668.8400044</v>
      </c>
      <c r="E16" s="43">
        <v>668905410.40000904</v>
      </c>
      <c r="F16" s="43">
        <v>22.12</v>
      </c>
      <c r="G16" s="43">
        <v>0</v>
      </c>
      <c r="H16" s="43">
        <v>668905388.28000903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870574728.7599951</v>
      </c>
      <c r="V16" s="43">
        <v>916601836.08999515</v>
      </c>
      <c r="W16" s="43">
        <v>-47257341</v>
      </c>
      <c r="X16" s="43">
        <v>1230233.6700000002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16439277</v>
      </c>
      <c r="AE16" s="43">
        <v>-16439277</v>
      </c>
      <c r="AF16" s="43">
        <v>7612486.9299999997</v>
      </c>
      <c r="AG16" s="43">
        <v>0</v>
      </c>
      <c r="AH16" s="43">
        <v>0</v>
      </c>
      <c r="AI16" s="43">
        <v>0</v>
      </c>
      <c r="AJ16" s="43">
        <v>0</v>
      </c>
      <c r="AK16" s="43">
        <v>63.639999999944102</v>
      </c>
      <c r="AL16" s="43">
        <v>7612423.29</v>
      </c>
      <c r="AM16" s="43">
        <v>0</v>
      </c>
      <c r="AN16" s="43">
        <v>0</v>
      </c>
      <c r="AO16" s="43">
        <v>0</v>
      </c>
      <c r="AP16" s="43">
        <v>4001411.08</v>
      </c>
      <c r="AQ16" s="43">
        <v>0</v>
      </c>
      <c r="AR16" s="43">
        <v>0</v>
      </c>
      <c r="AS16" s="43">
        <v>187736</v>
      </c>
      <c r="AT16" s="43">
        <v>3813675.08</v>
      </c>
      <c r="AU16" s="43">
        <v>0</v>
      </c>
      <c r="AV16" s="43">
        <v>0</v>
      </c>
      <c r="AW16" s="43">
        <v>0</v>
      </c>
      <c r="AX16" s="43">
        <v>194200053.97000018</v>
      </c>
      <c r="AY16" s="43">
        <v>163942780.05000019</v>
      </c>
      <c r="AZ16" s="43">
        <v>0</v>
      </c>
      <c r="BA16" s="43">
        <v>25106204.879999999</v>
      </c>
      <c r="BB16" s="43">
        <v>5151069.0399999991</v>
      </c>
      <c r="BC16" s="43">
        <v>16113577.699999999</v>
      </c>
      <c r="BD16" s="43">
        <v>0</v>
      </c>
      <c r="BE16" s="43">
        <v>16113578.07</v>
      </c>
      <c r="BF16" s="43">
        <v>0</v>
      </c>
      <c r="BG16" s="43">
        <v>-0.37000000014668333</v>
      </c>
      <c r="BH16" s="43">
        <v>0</v>
      </c>
      <c r="BI16" s="43">
        <v>0</v>
      </c>
      <c r="BJ16" s="43">
        <v>0</v>
      </c>
      <c r="BK16" s="43">
        <v>0</v>
      </c>
      <c r="BL16" s="43">
        <v>355943310.33999997</v>
      </c>
      <c r="BM16" s="43">
        <v>175585203</v>
      </c>
      <c r="BN16" s="43">
        <v>175585203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28790565.109999985</v>
      </c>
      <c r="DB16" s="43">
        <v>0</v>
      </c>
      <c r="DC16" s="43">
        <v>0</v>
      </c>
      <c r="DD16" s="43">
        <v>0</v>
      </c>
      <c r="DE16" s="43">
        <v>0</v>
      </c>
      <c r="DF16" s="43">
        <v>11076951.07</v>
      </c>
      <c r="DG16" s="43">
        <v>0</v>
      </c>
      <c r="DH16" s="43">
        <v>0</v>
      </c>
      <c r="DI16" s="43">
        <v>56031560.799999997</v>
      </c>
      <c r="DJ16" s="43">
        <v>-38317946.760000013</v>
      </c>
      <c r="DK16" s="43">
        <v>0</v>
      </c>
      <c r="DL16" s="43">
        <v>6255841.2300000023</v>
      </c>
      <c r="DM16" s="43">
        <v>0</v>
      </c>
      <c r="DN16" s="43">
        <v>0</v>
      </c>
      <c r="DO16" s="43">
        <v>0</v>
      </c>
      <c r="DP16" s="43">
        <v>0</v>
      </c>
      <c r="DQ16" s="43">
        <v>15737724.270000001</v>
      </c>
      <c r="DR16" s="43">
        <v>-9481883.0399999991</v>
      </c>
      <c r="DS16" s="43">
        <v>0</v>
      </c>
      <c r="DT16" s="43">
        <v>36944153</v>
      </c>
      <c r="DU16" s="43">
        <v>36944153</v>
      </c>
      <c r="DV16" s="43">
        <v>0</v>
      </c>
      <c r="DW16" s="43">
        <v>0</v>
      </c>
      <c r="DX16" s="43">
        <v>108367548</v>
      </c>
      <c r="DY16" s="43">
        <v>0</v>
      </c>
      <c r="DZ16" s="43">
        <v>0</v>
      </c>
      <c r="EA16" s="43">
        <v>0</v>
      </c>
      <c r="EB16" s="43">
        <v>0</v>
      </c>
      <c r="EC16" s="43">
        <v>108367548</v>
      </c>
      <c r="ED16" s="43">
        <v>0</v>
      </c>
      <c r="EE16" s="43">
        <v>0</v>
      </c>
      <c r="EF16" s="43">
        <v>0</v>
      </c>
    </row>
    <row r="17" spans="1:136" ht="13.5" customHeight="1">
      <c r="A17" s="40" t="s">
        <v>3</v>
      </c>
      <c r="B17" s="41">
        <v>1012</v>
      </c>
      <c r="C17" s="42" t="s">
        <v>415</v>
      </c>
      <c r="D17" s="43">
        <v>17590450470.280003</v>
      </c>
      <c r="E17" s="43">
        <v>9743466284.5699997</v>
      </c>
      <c r="F17" s="43">
        <v>0</v>
      </c>
      <c r="G17" s="43">
        <v>0</v>
      </c>
      <c r="H17" s="43">
        <v>9254460113.3899994</v>
      </c>
      <c r="I17" s="43">
        <v>0</v>
      </c>
      <c r="J17" s="43">
        <v>489006171.18000001</v>
      </c>
      <c r="K17" s="43">
        <v>0</v>
      </c>
      <c r="L17" s="43">
        <v>5026787062.1000004</v>
      </c>
      <c r="M17" s="43">
        <v>0</v>
      </c>
      <c r="N17" s="43">
        <v>0</v>
      </c>
      <c r="O17" s="43">
        <v>5026787062.1000004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1772391043.0499997</v>
      </c>
      <c r="V17" s="43">
        <v>1970377785.0099998</v>
      </c>
      <c r="W17" s="43">
        <v>-197986741.96000001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107153312.00999999</v>
      </c>
      <c r="AE17" s="43">
        <v>-107153312.00999999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35897022.920000002</v>
      </c>
      <c r="AQ17" s="43">
        <v>0</v>
      </c>
      <c r="AR17" s="43">
        <v>0</v>
      </c>
      <c r="AS17" s="43">
        <v>31318303.050000001</v>
      </c>
      <c r="AT17" s="43">
        <v>4578719.87</v>
      </c>
      <c r="AU17" s="43">
        <v>0</v>
      </c>
      <c r="AV17" s="43">
        <v>0</v>
      </c>
      <c r="AW17" s="43">
        <v>0</v>
      </c>
      <c r="AX17" s="43">
        <v>1011880869.8099999</v>
      </c>
      <c r="AY17" s="43">
        <v>712321906.93999994</v>
      </c>
      <c r="AZ17" s="43">
        <v>0</v>
      </c>
      <c r="BA17" s="43">
        <v>0</v>
      </c>
      <c r="BB17" s="43">
        <v>299558962.87</v>
      </c>
      <c r="BC17" s="43">
        <v>28187.83</v>
      </c>
      <c r="BD17" s="43">
        <v>0</v>
      </c>
      <c r="BE17" s="43">
        <v>0</v>
      </c>
      <c r="BF17" s="43">
        <v>0</v>
      </c>
      <c r="BG17" s="43">
        <v>0.47</v>
      </c>
      <c r="BH17" s="43">
        <v>28187.360000000001</v>
      </c>
      <c r="BI17" s="43">
        <v>0</v>
      </c>
      <c r="BJ17" s="43">
        <v>0</v>
      </c>
      <c r="BK17" s="43">
        <v>0</v>
      </c>
      <c r="BL17" s="43">
        <v>1859163644.3999999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</v>
      </c>
      <c r="CB17" s="43">
        <v>0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12091.52</v>
      </c>
      <c r="CI17" s="43">
        <v>0</v>
      </c>
      <c r="CJ17" s="43">
        <v>0</v>
      </c>
      <c r="CK17" s="43">
        <v>12091.52</v>
      </c>
      <c r="CL17" s="43">
        <v>0</v>
      </c>
      <c r="CM17" s="43">
        <v>0</v>
      </c>
      <c r="CN17" s="43">
        <v>0</v>
      </c>
      <c r="CO17" s="43">
        <v>0</v>
      </c>
      <c r="CP17" s="43">
        <v>1666108326.4099998</v>
      </c>
      <c r="CQ17" s="43">
        <v>63188815.810000002</v>
      </c>
      <c r="CR17" s="43">
        <v>1602919510.5999999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30789211.229999989</v>
      </c>
      <c r="DB17" s="43">
        <v>0</v>
      </c>
      <c r="DC17" s="43">
        <v>0</v>
      </c>
      <c r="DD17" s="43">
        <v>0</v>
      </c>
      <c r="DE17" s="43">
        <v>0</v>
      </c>
      <c r="DF17" s="43">
        <v>18524325.780000001</v>
      </c>
      <c r="DG17" s="43">
        <v>19908087.41</v>
      </c>
      <c r="DH17" s="43">
        <v>15894448.4</v>
      </c>
      <c r="DI17" s="43">
        <v>72614697.659999996</v>
      </c>
      <c r="DJ17" s="43">
        <v>-96152348.020000011</v>
      </c>
      <c r="DK17" s="43">
        <v>0</v>
      </c>
      <c r="DL17" s="43">
        <v>162254015.24000001</v>
      </c>
      <c r="DM17" s="43">
        <v>256008421.52000001</v>
      </c>
      <c r="DN17" s="43">
        <v>0</v>
      </c>
      <c r="DO17" s="43">
        <v>0</v>
      </c>
      <c r="DP17" s="43">
        <v>0</v>
      </c>
      <c r="DQ17" s="43">
        <v>0</v>
      </c>
      <c r="DR17" s="43">
        <v>-93754406.280000001</v>
      </c>
      <c r="DS17" s="43">
        <v>0</v>
      </c>
      <c r="DT17" s="43">
        <v>0</v>
      </c>
      <c r="DU17" s="43">
        <v>0</v>
      </c>
      <c r="DV17" s="43">
        <v>0</v>
      </c>
      <c r="DW17" s="43">
        <v>0</v>
      </c>
      <c r="DX17" s="43">
        <v>0</v>
      </c>
      <c r="DY17" s="43">
        <v>0</v>
      </c>
      <c r="DZ17" s="43">
        <v>0</v>
      </c>
      <c r="EA17" s="43">
        <v>0</v>
      </c>
      <c r="EB17" s="43">
        <v>0</v>
      </c>
      <c r="EC17" s="43">
        <v>0</v>
      </c>
      <c r="ED17" s="43">
        <v>0</v>
      </c>
      <c r="EE17" s="43">
        <v>0</v>
      </c>
      <c r="EF17" s="43">
        <v>0</v>
      </c>
    </row>
    <row r="18" spans="1:136" ht="13.5" customHeight="1">
      <c r="A18" s="40" t="s">
        <v>5</v>
      </c>
      <c r="B18" s="41">
        <v>1013</v>
      </c>
      <c r="C18" s="42" t="s">
        <v>415</v>
      </c>
      <c r="D18" s="43">
        <v>2919528247.6999993</v>
      </c>
      <c r="E18" s="43">
        <v>1321406660.9899998</v>
      </c>
      <c r="F18" s="43">
        <v>0</v>
      </c>
      <c r="G18" s="43">
        <v>0</v>
      </c>
      <c r="H18" s="43">
        <v>1196822199.8799999</v>
      </c>
      <c r="I18" s="43">
        <v>0</v>
      </c>
      <c r="J18" s="43">
        <v>124584461.11</v>
      </c>
      <c r="K18" s="43">
        <v>0</v>
      </c>
      <c r="L18" s="43">
        <v>58102880.920000002</v>
      </c>
      <c r="M18" s="43">
        <v>0</v>
      </c>
      <c r="N18" s="43">
        <v>58102880.920000002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1073831918.6099997</v>
      </c>
      <c r="V18" s="43">
        <v>919359153.49999988</v>
      </c>
      <c r="W18" s="43">
        <v>-80339.38</v>
      </c>
      <c r="X18" s="43">
        <v>154253104.52000001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163737274.84999999</v>
      </c>
      <c r="AE18" s="43">
        <v>-163437274.88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422039802.13999999</v>
      </c>
      <c r="AY18" s="43">
        <v>251094522.13999999</v>
      </c>
      <c r="AZ18" s="43">
        <v>0</v>
      </c>
      <c r="BA18" s="43">
        <v>0</v>
      </c>
      <c r="BB18" s="43">
        <v>170945280</v>
      </c>
      <c r="BC18" s="43">
        <v>44146985.039999999</v>
      </c>
      <c r="BD18" s="43">
        <v>0</v>
      </c>
      <c r="BE18" s="43">
        <v>42588215.310000002</v>
      </c>
      <c r="BF18" s="43">
        <v>0</v>
      </c>
      <c r="BG18" s="43">
        <v>1558769.73</v>
      </c>
      <c r="BH18" s="43">
        <v>0</v>
      </c>
      <c r="BI18" s="43">
        <v>0</v>
      </c>
      <c r="BJ18" s="43">
        <v>0</v>
      </c>
      <c r="BK18" s="43">
        <v>0</v>
      </c>
      <c r="BL18" s="43">
        <v>146185963.97</v>
      </c>
      <c r="BM18" s="43">
        <v>0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</v>
      </c>
      <c r="BU18" s="43">
        <v>0</v>
      </c>
      <c r="BV18" s="43">
        <v>0</v>
      </c>
      <c r="BW18" s="43">
        <v>0</v>
      </c>
      <c r="BX18" s="43">
        <v>0</v>
      </c>
      <c r="BY18" s="43">
        <v>0</v>
      </c>
      <c r="BZ18" s="43">
        <v>0</v>
      </c>
      <c r="CA18" s="43">
        <v>0</v>
      </c>
      <c r="CB18" s="43">
        <v>0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1962718.21</v>
      </c>
      <c r="CI18" s="43">
        <v>0</v>
      </c>
      <c r="CJ18" s="43">
        <v>0</v>
      </c>
      <c r="CK18" s="43">
        <v>1962718.21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0</v>
      </c>
      <c r="CZ18" s="43">
        <v>0</v>
      </c>
      <c r="DA18" s="43">
        <v>50970302.060000002</v>
      </c>
      <c r="DB18" s="43">
        <v>0</v>
      </c>
      <c r="DC18" s="43">
        <v>0</v>
      </c>
      <c r="DD18" s="43">
        <v>0</v>
      </c>
      <c r="DE18" s="43">
        <v>3829213.72</v>
      </c>
      <c r="DF18" s="43">
        <v>4733921.5999999996</v>
      </c>
      <c r="DG18" s="43">
        <v>0</v>
      </c>
      <c r="DH18" s="43">
        <v>35918653.840000004</v>
      </c>
      <c r="DI18" s="43">
        <v>65643281.959999993</v>
      </c>
      <c r="DJ18" s="43">
        <v>-59154769.060000002</v>
      </c>
      <c r="DK18" s="43">
        <v>0</v>
      </c>
      <c r="DL18" s="43">
        <v>16335357.699999999</v>
      </c>
      <c r="DM18" s="43">
        <v>29969214.27</v>
      </c>
      <c r="DN18" s="43">
        <v>0</v>
      </c>
      <c r="DO18" s="43">
        <v>0</v>
      </c>
      <c r="DP18" s="43">
        <v>0</v>
      </c>
      <c r="DQ18" s="43">
        <v>0</v>
      </c>
      <c r="DR18" s="43">
        <v>-13633856.57</v>
      </c>
      <c r="DS18" s="43">
        <v>0</v>
      </c>
      <c r="DT18" s="43">
        <v>0</v>
      </c>
      <c r="DU18" s="43">
        <v>0</v>
      </c>
      <c r="DV18" s="43">
        <v>0</v>
      </c>
      <c r="DW18" s="43">
        <v>0</v>
      </c>
      <c r="DX18" s="43">
        <v>76917586</v>
      </c>
      <c r="DY18" s="43">
        <v>0</v>
      </c>
      <c r="DZ18" s="43">
        <v>0</v>
      </c>
      <c r="EA18" s="43">
        <v>0</v>
      </c>
      <c r="EB18" s="43">
        <v>0</v>
      </c>
      <c r="EC18" s="43">
        <v>76917586</v>
      </c>
      <c r="ED18" s="43">
        <v>0</v>
      </c>
      <c r="EE18" s="43">
        <v>0</v>
      </c>
      <c r="EF18" s="43">
        <v>0</v>
      </c>
    </row>
    <row r="19" spans="1:136" ht="13.5" customHeight="1">
      <c r="A19" s="40" t="s">
        <v>56</v>
      </c>
      <c r="B19" s="41">
        <v>1016</v>
      </c>
      <c r="C19" s="42" t="s">
        <v>415</v>
      </c>
      <c r="D19" s="43">
        <v>1393773788.9600003</v>
      </c>
      <c r="E19" s="43">
        <v>739533619.45999992</v>
      </c>
      <c r="F19" s="43">
        <v>0</v>
      </c>
      <c r="G19" s="43">
        <v>0</v>
      </c>
      <c r="H19" s="43">
        <v>739533619.45999992</v>
      </c>
      <c r="I19" s="43">
        <v>0</v>
      </c>
      <c r="J19" s="43">
        <v>0</v>
      </c>
      <c r="K19" s="43">
        <v>0</v>
      </c>
      <c r="L19" s="43">
        <v>4218830.32</v>
      </c>
      <c r="M19" s="43">
        <v>0</v>
      </c>
      <c r="N19" s="43">
        <v>0</v>
      </c>
      <c r="O19" s="43">
        <v>4218830.32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538727556.69000006</v>
      </c>
      <c r="V19" s="43">
        <v>536544026.50999999</v>
      </c>
      <c r="W19" s="43">
        <v>-3142179.6799999997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8346548.7700000005</v>
      </c>
      <c r="AE19" s="43">
        <v>-3020838.91</v>
      </c>
      <c r="AF19" s="43">
        <v>5495474.7800000003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5495474.7800000003</v>
      </c>
      <c r="AM19" s="43">
        <v>0</v>
      </c>
      <c r="AN19" s="43">
        <v>0</v>
      </c>
      <c r="AO19" s="43">
        <v>0</v>
      </c>
      <c r="AP19" s="43">
        <v>4843049.92</v>
      </c>
      <c r="AQ19" s="43">
        <v>0</v>
      </c>
      <c r="AR19" s="43">
        <v>0</v>
      </c>
      <c r="AS19" s="43">
        <v>858718.11</v>
      </c>
      <c r="AT19" s="43">
        <v>4070933.34</v>
      </c>
      <c r="AU19" s="43">
        <v>0</v>
      </c>
      <c r="AV19" s="43">
        <v>0</v>
      </c>
      <c r="AW19" s="43">
        <v>-86601.53</v>
      </c>
      <c r="AX19" s="43">
        <v>87719202.890000001</v>
      </c>
      <c r="AY19" s="43">
        <v>66337491.160000011</v>
      </c>
      <c r="AZ19" s="43">
        <v>19944116.52</v>
      </c>
      <c r="BA19" s="43">
        <v>1437595.21</v>
      </c>
      <c r="BB19" s="43">
        <v>0</v>
      </c>
      <c r="BC19" s="43">
        <v>13236054.9</v>
      </c>
      <c r="BD19" s="43">
        <v>0</v>
      </c>
      <c r="BE19" s="43">
        <v>9851926.870000001</v>
      </c>
      <c r="BF19" s="43">
        <v>0</v>
      </c>
      <c r="BG19" s="43">
        <v>0</v>
      </c>
      <c r="BH19" s="43">
        <v>3386093.86</v>
      </c>
      <c r="BI19" s="43">
        <v>0</v>
      </c>
      <c r="BJ19" s="43">
        <v>-1965.83</v>
      </c>
      <c r="BK19" s="43">
        <v>0</v>
      </c>
      <c r="BL19" s="43">
        <v>66263063.590000004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</v>
      </c>
      <c r="CB19" s="43">
        <v>0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152527.04999999999</v>
      </c>
      <c r="CQ19" s="43">
        <v>0</v>
      </c>
      <c r="CR19" s="43">
        <v>0</v>
      </c>
      <c r="CS19" s="43">
        <v>0</v>
      </c>
      <c r="CT19" s="43">
        <v>152527.04999999999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22114455.239999995</v>
      </c>
      <c r="DB19" s="43">
        <v>0</v>
      </c>
      <c r="DC19" s="43">
        <v>0</v>
      </c>
      <c r="DD19" s="43">
        <v>0</v>
      </c>
      <c r="DE19" s="43">
        <v>5479170.54</v>
      </c>
      <c r="DF19" s="43">
        <v>202624.51</v>
      </c>
      <c r="DG19" s="43">
        <v>0</v>
      </c>
      <c r="DH19" s="43">
        <v>0</v>
      </c>
      <c r="DI19" s="43">
        <v>35912515.409999996</v>
      </c>
      <c r="DJ19" s="43">
        <v>-19479855.219999999</v>
      </c>
      <c r="DK19" s="43">
        <v>0</v>
      </c>
      <c r="DL19" s="43">
        <v>6515553.3500000006</v>
      </c>
      <c r="DM19" s="43">
        <v>11377548.66</v>
      </c>
      <c r="DN19" s="43">
        <v>0</v>
      </c>
      <c r="DO19" s="43">
        <v>0</v>
      </c>
      <c r="DP19" s="43">
        <v>0</v>
      </c>
      <c r="DQ19" s="43">
        <v>0</v>
      </c>
      <c r="DR19" s="43">
        <v>-4861995.3099999996</v>
      </c>
      <c r="DS19" s="43">
        <v>0</v>
      </c>
      <c r="DT19" s="43">
        <v>0</v>
      </c>
      <c r="DU19" s="43">
        <v>0</v>
      </c>
      <c r="DV19" s="43">
        <v>0</v>
      </c>
      <c r="DW19" s="43">
        <v>0</v>
      </c>
      <c r="DX19" s="43">
        <v>37480527.950000003</v>
      </c>
      <c r="DY19" s="43">
        <v>0</v>
      </c>
      <c r="DZ19" s="43">
        <v>0</v>
      </c>
      <c r="EA19" s="43">
        <v>0</v>
      </c>
      <c r="EB19" s="43">
        <v>0</v>
      </c>
      <c r="EC19" s="43">
        <v>37480527.950000003</v>
      </c>
      <c r="ED19" s="43">
        <v>0</v>
      </c>
      <c r="EE19" s="43">
        <v>0</v>
      </c>
      <c r="EF19" s="43">
        <v>0</v>
      </c>
    </row>
    <row r="20" spans="1:136" ht="13.5" customHeight="1">
      <c r="A20" s="40" t="s">
        <v>59</v>
      </c>
      <c r="B20" s="41">
        <v>1017</v>
      </c>
      <c r="C20" s="42" t="s">
        <v>415</v>
      </c>
      <c r="D20" s="43">
        <v>25167218550.966808</v>
      </c>
      <c r="E20" s="43">
        <v>10855204246.139999</v>
      </c>
      <c r="F20" s="43">
        <v>224321.74000000002</v>
      </c>
      <c r="G20" s="43">
        <v>0</v>
      </c>
      <c r="H20" s="43">
        <v>9316629365.1399994</v>
      </c>
      <c r="I20" s="43">
        <v>0</v>
      </c>
      <c r="J20" s="43">
        <v>1538350559.26</v>
      </c>
      <c r="K20" s="43">
        <v>0</v>
      </c>
      <c r="L20" s="43">
        <v>4164469001.6500006</v>
      </c>
      <c r="M20" s="43">
        <v>3354842190.3700004</v>
      </c>
      <c r="N20" s="43">
        <v>0</v>
      </c>
      <c r="O20" s="43">
        <v>809626811.28000009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7249452788.6724081</v>
      </c>
      <c r="V20" s="43">
        <v>7411861152.9624081</v>
      </c>
      <c r="W20" s="43">
        <v>-162408364.28999999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71555888.430000007</v>
      </c>
      <c r="AE20" s="43">
        <v>-71555888.430000007</v>
      </c>
      <c r="AF20" s="43">
        <v>96048.154399999999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96048.154399999999</v>
      </c>
      <c r="AM20" s="43">
        <v>0</v>
      </c>
      <c r="AN20" s="43">
        <v>0</v>
      </c>
      <c r="AO20" s="43">
        <v>0</v>
      </c>
      <c r="AP20" s="43">
        <v>285647963.38999999</v>
      </c>
      <c r="AQ20" s="43">
        <v>0</v>
      </c>
      <c r="AR20" s="43">
        <v>0</v>
      </c>
      <c r="AS20" s="43">
        <v>15256396.530000001</v>
      </c>
      <c r="AT20" s="43">
        <v>270391566.86000001</v>
      </c>
      <c r="AU20" s="43">
        <v>0</v>
      </c>
      <c r="AV20" s="43">
        <v>0</v>
      </c>
      <c r="AW20" s="43">
        <v>0</v>
      </c>
      <c r="AX20" s="43">
        <v>2612348502.96</v>
      </c>
      <c r="AY20" s="43">
        <v>2402912405.4000001</v>
      </c>
      <c r="AZ20" s="43">
        <v>0</v>
      </c>
      <c r="BA20" s="43">
        <v>0</v>
      </c>
      <c r="BB20" s="43">
        <v>209436097.56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2175003334.3177109</v>
      </c>
      <c r="BM20" s="43">
        <v>395525606.22771096</v>
      </c>
      <c r="BN20" s="43">
        <v>395525606.2277109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534582076</v>
      </c>
      <c r="BW20" s="43">
        <v>-534582076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55578.34</v>
      </c>
      <c r="CI20" s="43">
        <v>0</v>
      </c>
      <c r="CJ20" s="43">
        <v>0</v>
      </c>
      <c r="CK20" s="43">
        <v>55578.34</v>
      </c>
      <c r="CL20" s="43">
        <v>0</v>
      </c>
      <c r="CM20" s="43">
        <v>0</v>
      </c>
      <c r="CN20" s="43">
        <v>0</v>
      </c>
      <c r="CO20" s="43">
        <v>0</v>
      </c>
      <c r="CP20" s="43">
        <v>23366163.690000001</v>
      </c>
      <c r="CQ20" s="43">
        <v>0</v>
      </c>
      <c r="CR20" s="43">
        <v>23366163.690000001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895423558.68999994</v>
      </c>
      <c r="DB20" s="43">
        <v>708150400</v>
      </c>
      <c r="DC20" s="43">
        <v>0</v>
      </c>
      <c r="DD20" s="43">
        <v>0</v>
      </c>
      <c r="DE20" s="43">
        <v>0</v>
      </c>
      <c r="DF20" s="43">
        <v>122706400.57999998</v>
      </c>
      <c r="DG20" s="43">
        <v>180435530.96000001</v>
      </c>
      <c r="DH20" s="43">
        <v>17273797.560000002</v>
      </c>
      <c r="DI20" s="43">
        <v>11098770.859999999</v>
      </c>
      <c r="DJ20" s="43">
        <v>-144241341.27000001</v>
      </c>
      <c r="DK20" s="43">
        <v>0</v>
      </c>
      <c r="DL20" s="43">
        <v>250161256.42000002</v>
      </c>
      <c r="DM20" s="43">
        <v>0</v>
      </c>
      <c r="DN20" s="43">
        <v>0</v>
      </c>
      <c r="DO20" s="43">
        <v>0</v>
      </c>
      <c r="DP20" s="43">
        <v>0</v>
      </c>
      <c r="DQ20" s="43">
        <v>493168450.56999999</v>
      </c>
      <c r="DR20" s="43">
        <v>-317259068.00999999</v>
      </c>
      <c r="DS20" s="43">
        <v>74251873.859999999</v>
      </c>
      <c r="DT20" s="43">
        <v>104981983.67</v>
      </c>
      <c r="DU20" s="43">
        <v>104981983.67</v>
      </c>
      <c r="DV20" s="43">
        <v>0</v>
      </c>
      <c r="DW20" s="43">
        <v>0</v>
      </c>
      <c r="DX20" s="43">
        <v>505489187.27999997</v>
      </c>
      <c r="DY20" s="43">
        <v>0</v>
      </c>
      <c r="DZ20" s="43">
        <v>0</v>
      </c>
      <c r="EA20" s="43">
        <v>0</v>
      </c>
      <c r="EB20" s="43">
        <v>0</v>
      </c>
      <c r="EC20" s="43">
        <v>505489187.27999997</v>
      </c>
      <c r="ED20" s="43">
        <v>0</v>
      </c>
      <c r="EE20" s="43">
        <v>0</v>
      </c>
      <c r="EF20" s="43">
        <v>0</v>
      </c>
    </row>
    <row r="21" spans="1:136" ht="13.5" customHeight="1">
      <c r="A21" s="40" t="s">
        <v>7</v>
      </c>
      <c r="B21" s="41">
        <v>1018</v>
      </c>
      <c r="C21" s="42" t="s">
        <v>415</v>
      </c>
      <c r="D21" s="43">
        <v>10545781545.250002</v>
      </c>
      <c r="E21" s="43">
        <v>2251409012.1799998</v>
      </c>
      <c r="F21" s="43">
        <v>0</v>
      </c>
      <c r="G21" s="43">
        <v>0</v>
      </c>
      <c r="H21" s="43">
        <v>1549302945.1199999</v>
      </c>
      <c r="I21" s="43">
        <v>0</v>
      </c>
      <c r="J21" s="43">
        <v>702106067.05999994</v>
      </c>
      <c r="K21" s="43">
        <v>0</v>
      </c>
      <c r="L21" s="43">
        <v>7410240643.7600002</v>
      </c>
      <c r="M21" s="43">
        <v>0</v>
      </c>
      <c r="N21" s="43">
        <v>612212089.08999991</v>
      </c>
      <c r="O21" s="43">
        <v>6798028554.6700001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277787947.20999992</v>
      </c>
      <c r="V21" s="43">
        <v>284188767.36999995</v>
      </c>
      <c r="W21" s="43">
        <v>-6400820.1600000001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63050653.509999998</v>
      </c>
      <c r="AE21" s="43">
        <v>-63050653.509999998</v>
      </c>
      <c r="AF21" s="43">
        <v>-1107771.8899999999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-1107771.8899999999</v>
      </c>
      <c r="AM21" s="43">
        <v>0</v>
      </c>
      <c r="AN21" s="43">
        <v>0</v>
      </c>
      <c r="AO21" s="43">
        <v>0</v>
      </c>
      <c r="AP21" s="43">
        <v>3207394.3499999996</v>
      </c>
      <c r="AQ21" s="43">
        <v>0</v>
      </c>
      <c r="AR21" s="43">
        <v>0</v>
      </c>
      <c r="AS21" s="43">
        <v>0</v>
      </c>
      <c r="AT21" s="43">
        <v>3207394.3499999996</v>
      </c>
      <c r="AU21" s="43">
        <v>0</v>
      </c>
      <c r="AV21" s="43">
        <v>0</v>
      </c>
      <c r="AW21" s="43">
        <v>0</v>
      </c>
      <c r="AX21" s="43">
        <v>611072459.36000001</v>
      </c>
      <c r="AY21" s="43">
        <v>483220827.82999998</v>
      </c>
      <c r="AZ21" s="43">
        <v>0</v>
      </c>
      <c r="BA21" s="43">
        <v>0</v>
      </c>
      <c r="BB21" s="43">
        <v>127851631.53</v>
      </c>
      <c r="BC21" s="43">
        <v>-6828139.7199999997</v>
      </c>
      <c r="BD21" s="43">
        <v>0</v>
      </c>
      <c r="BE21" s="43">
        <v>0</v>
      </c>
      <c r="BF21" s="43">
        <v>0</v>
      </c>
      <c r="BG21" s="43">
        <v>0</v>
      </c>
      <c r="BH21" s="43">
        <v>1235860.6200000001</v>
      </c>
      <c r="BI21" s="43">
        <v>0</v>
      </c>
      <c r="BJ21" s="43">
        <v>0</v>
      </c>
      <c r="BK21" s="43">
        <v>-8064000.3399999999</v>
      </c>
      <c r="BL21" s="43">
        <v>152307637.63000003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50000</v>
      </c>
      <c r="CI21" s="43">
        <v>0</v>
      </c>
      <c r="CJ21" s="43">
        <v>0</v>
      </c>
      <c r="CK21" s="43">
        <v>50000</v>
      </c>
      <c r="CL21" s="43">
        <v>0</v>
      </c>
      <c r="CM21" s="43">
        <v>0</v>
      </c>
      <c r="CN21" s="43">
        <v>0</v>
      </c>
      <c r="CO21" s="43">
        <v>0</v>
      </c>
      <c r="CP21" s="43">
        <v>9757355.0899999999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9757355.0899999999</v>
      </c>
      <c r="CZ21" s="43">
        <v>0</v>
      </c>
      <c r="DA21" s="43">
        <v>103440356.02000001</v>
      </c>
      <c r="DB21" s="43">
        <v>6072000</v>
      </c>
      <c r="DC21" s="43">
        <v>0</v>
      </c>
      <c r="DD21" s="43">
        <v>0</v>
      </c>
      <c r="DE21" s="43">
        <v>0</v>
      </c>
      <c r="DF21" s="43">
        <v>50959535.619999997</v>
      </c>
      <c r="DG21" s="43">
        <v>23110772.23</v>
      </c>
      <c r="DH21" s="43">
        <v>0</v>
      </c>
      <c r="DI21" s="43">
        <v>46466075.68</v>
      </c>
      <c r="DJ21" s="43">
        <v>-23168027.509999998</v>
      </c>
      <c r="DK21" s="43">
        <v>0</v>
      </c>
      <c r="DL21" s="43">
        <v>15109277.329999998</v>
      </c>
      <c r="DM21" s="43">
        <v>0</v>
      </c>
      <c r="DN21" s="43">
        <v>0</v>
      </c>
      <c r="DO21" s="43">
        <v>0</v>
      </c>
      <c r="DP21" s="43">
        <v>0</v>
      </c>
      <c r="DQ21" s="43">
        <v>17291099.039999999</v>
      </c>
      <c r="DR21" s="43">
        <v>-2181821.71</v>
      </c>
      <c r="DS21" s="43">
        <v>0</v>
      </c>
      <c r="DT21" s="43">
        <v>0</v>
      </c>
      <c r="DU21" s="43">
        <v>0</v>
      </c>
      <c r="DV21" s="43">
        <v>0</v>
      </c>
      <c r="DW21" s="43">
        <v>0</v>
      </c>
      <c r="DX21" s="43">
        <v>23950649.190000001</v>
      </c>
      <c r="DY21" s="43">
        <v>0</v>
      </c>
      <c r="DZ21" s="43">
        <v>0</v>
      </c>
      <c r="EA21" s="43">
        <v>0</v>
      </c>
      <c r="EB21" s="43">
        <v>0</v>
      </c>
      <c r="EC21" s="43">
        <v>23950649.190000001</v>
      </c>
      <c r="ED21" s="43">
        <v>0</v>
      </c>
      <c r="EE21" s="43">
        <v>0</v>
      </c>
      <c r="EF21" s="43">
        <v>0</v>
      </c>
    </row>
    <row r="22" spans="1:136" ht="13.5" customHeight="1">
      <c r="A22" s="40" t="s">
        <v>8</v>
      </c>
      <c r="B22" s="41">
        <v>1020</v>
      </c>
      <c r="C22" s="42" t="s">
        <v>415</v>
      </c>
      <c r="D22" s="43">
        <v>178172840757.03003</v>
      </c>
      <c r="E22" s="43">
        <v>12918134988.24</v>
      </c>
      <c r="F22" s="43">
        <v>0</v>
      </c>
      <c r="G22" s="43">
        <v>0</v>
      </c>
      <c r="H22" s="43">
        <v>5930055583.2600002</v>
      </c>
      <c r="I22" s="43">
        <v>0</v>
      </c>
      <c r="J22" s="43">
        <v>6988079404.9799995</v>
      </c>
      <c r="K22" s="43">
        <v>0</v>
      </c>
      <c r="L22" s="43">
        <v>98173457310.729996</v>
      </c>
      <c r="M22" s="43">
        <v>37121359730.75</v>
      </c>
      <c r="N22" s="43">
        <v>25985402624.739998</v>
      </c>
      <c r="O22" s="43">
        <v>35066694955.239998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51943757356.710022</v>
      </c>
      <c r="V22" s="43">
        <v>48580901480.150024</v>
      </c>
      <c r="W22" s="43">
        <v>-204009291.49000001</v>
      </c>
      <c r="X22" s="43">
        <v>3562925315.3800001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3557876500.8700013</v>
      </c>
      <c r="AE22" s="43">
        <v>-3553936648.2000017</v>
      </c>
      <c r="AF22" s="43">
        <v>221593462.12</v>
      </c>
      <c r="AG22" s="43">
        <v>0</v>
      </c>
      <c r="AH22" s="43">
        <v>220905685.78999999</v>
      </c>
      <c r="AI22" s="43">
        <v>0</v>
      </c>
      <c r="AJ22" s="43">
        <v>687776.33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1933721574.9199998</v>
      </c>
      <c r="AQ22" s="43">
        <v>0</v>
      </c>
      <c r="AR22" s="43">
        <v>0</v>
      </c>
      <c r="AS22" s="43">
        <v>0</v>
      </c>
      <c r="AT22" s="43">
        <v>1933721574.9199998</v>
      </c>
      <c r="AU22" s="43">
        <v>0</v>
      </c>
      <c r="AV22" s="43">
        <v>403150.87</v>
      </c>
      <c r="AW22" s="43">
        <v>-403150.87</v>
      </c>
      <c r="AX22" s="43">
        <v>12919532989.380001</v>
      </c>
      <c r="AY22" s="43">
        <v>12501669490.380001</v>
      </c>
      <c r="AZ22" s="43">
        <v>0</v>
      </c>
      <c r="BA22" s="43">
        <v>0</v>
      </c>
      <c r="BB22" s="43">
        <v>417863499</v>
      </c>
      <c r="BC22" s="43">
        <v>62643074.93</v>
      </c>
      <c r="BD22" s="43">
        <v>0</v>
      </c>
      <c r="BE22" s="43">
        <v>12072146.35</v>
      </c>
      <c r="BF22" s="43">
        <v>0</v>
      </c>
      <c r="BG22" s="43">
        <v>0</v>
      </c>
      <c r="BH22" s="43">
        <v>7369435.4299999997</v>
      </c>
      <c r="BI22" s="43">
        <v>0</v>
      </c>
      <c r="BJ22" s="43">
        <v>43201493.149999999</v>
      </c>
      <c r="BK22" s="43">
        <v>0</v>
      </c>
      <c r="BL22" s="43">
        <v>15156887852.42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0</v>
      </c>
      <c r="CB22" s="43">
        <v>0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5433678.3999999994</v>
      </c>
      <c r="CI22" s="43">
        <v>0</v>
      </c>
      <c r="CJ22" s="43">
        <v>0</v>
      </c>
      <c r="CK22" s="43">
        <v>5433678.3999999994</v>
      </c>
      <c r="CL22" s="43">
        <v>0</v>
      </c>
      <c r="CM22" s="43">
        <v>0</v>
      </c>
      <c r="CN22" s="43">
        <v>0</v>
      </c>
      <c r="CO22" s="43">
        <v>0</v>
      </c>
      <c r="CP22" s="43">
        <v>12374163969.58</v>
      </c>
      <c r="CQ22" s="43">
        <v>2680750000</v>
      </c>
      <c r="CR22" s="43">
        <v>9675198379.8999996</v>
      </c>
      <c r="CS22" s="43">
        <v>0</v>
      </c>
      <c r="CT22" s="43">
        <v>18215589.68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2472342524.04</v>
      </c>
      <c r="DB22" s="43">
        <v>408350176</v>
      </c>
      <c r="DC22" s="43">
        <v>0</v>
      </c>
      <c r="DD22" s="43">
        <v>1782597070.3399999</v>
      </c>
      <c r="DE22" s="43">
        <v>212060929.22</v>
      </c>
      <c r="DF22" s="43">
        <v>99582607.319999993</v>
      </c>
      <c r="DG22" s="43">
        <v>13117363.93</v>
      </c>
      <c r="DH22" s="43">
        <v>36625649.369999997</v>
      </c>
      <c r="DI22" s="43">
        <v>227331657.39000002</v>
      </c>
      <c r="DJ22" s="43">
        <v>-307322929.52999997</v>
      </c>
      <c r="DK22" s="43">
        <v>0</v>
      </c>
      <c r="DL22" s="43">
        <v>304947680.39999998</v>
      </c>
      <c r="DM22" s="43">
        <v>555429699.57000005</v>
      </c>
      <c r="DN22" s="43">
        <v>0</v>
      </c>
      <c r="DO22" s="43">
        <v>0</v>
      </c>
      <c r="DP22" s="43">
        <v>0</v>
      </c>
      <c r="DQ22" s="43">
        <v>38238938.689999998</v>
      </c>
      <c r="DR22" s="43">
        <v>-288720957.86000001</v>
      </c>
      <c r="DS22" s="43">
        <v>0</v>
      </c>
      <c r="DT22" s="43">
        <v>0</v>
      </c>
      <c r="DU22" s="43">
        <v>0</v>
      </c>
      <c r="DV22" s="43">
        <v>0</v>
      </c>
      <c r="DW22" s="43">
        <v>0</v>
      </c>
      <c r="DX22" s="43">
        <v>0</v>
      </c>
      <c r="DY22" s="43">
        <v>0</v>
      </c>
      <c r="DZ22" s="43">
        <v>0</v>
      </c>
      <c r="EA22" s="43">
        <v>0</v>
      </c>
      <c r="EB22" s="43">
        <v>0</v>
      </c>
      <c r="EC22" s="43">
        <v>0</v>
      </c>
      <c r="ED22" s="43">
        <v>0</v>
      </c>
      <c r="EE22" s="43">
        <v>0</v>
      </c>
      <c r="EF22" s="43">
        <v>0</v>
      </c>
    </row>
    <row r="23" spans="1:136" ht="13.5" customHeight="1">
      <c r="A23" s="40" t="s">
        <v>66</v>
      </c>
      <c r="B23" s="41">
        <v>1022</v>
      </c>
      <c r="C23" s="42" t="s">
        <v>415</v>
      </c>
      <c r="D23" s="43">
        <v>64449943559.919998</v>
      </c>
      <c r="E23" s="43">
        <v>31800830574.769997</v>
      </c>
      <c r="F23" s="43">
        <v>0</v>
      </c>
      <c r="G23" s="43">
        <v>0</v>
      </c>
      <c r="H23" s="43">
        <v>24315715403.599998</v>
      </c>
      <c r="I23" s="43">
        <v>0</v>
      </c>
      <c r="J23" s="43">
        <v>7485115171.1700001</v>
      </c>
      <c r="K23" s="43">
        <v>0</v>
      </c>
      <c r="L23" s="43">
        <v>17680272789.559998</v>
      </c>
      <c r="M23" s="43">
        <v>13457448291.859999</v>
      </c>
      <c r="N23" s="43">
        <v>3742790298.5300002</v>
      </c>
      <c r="O23" s="43">
        <v>480034199.17000002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9241035483.170002</v>
      </c>
      <c r="V23" s="43">
        <v>9269521820.5699997</v>
      </c>
      <c r="W23" s="43">
        <v>-34161998.129999995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2702699519.21</v>
      </c>
      <c r="AE23" s="43">
        <v>-2697023858.48</v>
      </c>
      <c r="AF23" s="43">
        <v>11062093.68</v>
      </c>
      <c r="AG23" s="43">
        <v>0</v>
      </c>
      <c r="AH23" s="43">
        <v>0</v>
      </c>
      <c r="AI23" s="43">
        <v>11062093.68</v>
      </c>
      <c r="AJ23" s="43">
        <v>0</v>
      </c>
      <c r="AK23" s="43">
        <v>0</v>
      </c>
      <c r="AL23" s="43">
        <v>0</v>
      </c>
      <c r="AM23" s="43">
        <v>0</v>
      </c>
      <c r="AN23" s="43">
        <v>1551278.06</v>
      </c>
      <c r="AO23" s="43">
        <v>-1551278.06</v>
      </c>
      <c r="AP23" s="43">
        <v>24009877.52</v>
      </c>
      <c r="AQ23" s="43">
        <v>0</v>
      </c>
      <c r="AR23" s="43">
        <v>0</v>
      </c>
      <c r="AS23" s="43">
        <v>383086.16</v>
      </c>
      <c r="AT23" s="43">
        <v>23626791.359999999</v>
      </c>
      <c r="AU23" s="43">
        <v>0</v>
      </c>
      <c r="AV23" s="43">
        <v>350874.17</v>
      </c>
      <c r="AW23" s="43">
        <v>-350874.17</v>
      </c>
      <c r="AX23" s="43">
        <v>5688228184.6099997</v>
      </c>
      <c r="AY23" s="43">
        <v>3697049103.75</v>
      </c>
      <c r="AZ23" s="43">
        <v>0</v>
      </c>
      <c r="BA23" s="43">
        <v>0</v>
      </c>
      <c r="BB23" s="43">
        <v>1991179080.8599999</v>
      </c>
      <c r="BC23" s="43">
        <v>4504556.6099999994</v>
      </c>
      <c r="BD23" s="43">
        <v>2658342.39</v>
      </c>
      <c r="BE23" s="43">
        <v>1846214.22</v>
      </c>
      <c r="BF23" s="43">
        <v>0</v>
      </c>
      <c r="BG23" s="43">
        <v>0</v>
      </c>
      <c r="BH23" s="43">
        <v>0</v>
      </c>
      <c r="BI23" s="43">
        <v>0</v>
      </c>
      <c r="BJ23" s="43">
        <v>8875650.6400000006</v>
      </c>
      <c r="BK23" s="43">
        <v>-8875650.6400000006</v>
      </c>
      <c r="BL23" s="43">
        <v>4113877011.0200005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712820.44</v>
      </c>
      <c r="CI23" s="43">
        <v>0</v>
      </c>
      <c r="CJ23" s="43">
        <v>0</v>
      </c>
      <c r="CK23" s="43">
        <v>712820.44</v>
      </c>
      <c r="CL23" s="43">
        <v>0</v>
      </c>
      <c r="CM23" s="43">
        <v>0</v>
      </c>
      <c r="CN23" s="43">
        <v>0</v>
      </c>
      <c r="CO23" s="43">
        <v>0</v>
      </c>
      <c r="CP23" s="43">
        <v>1945717414.04</v>
      </c>
      <c r="CQ23" s="43">
        <v>0</v>
      </c>
      <c r="CR23" s="43">
        <v>9798981.2799999993</v>
      </c>
      <c r="CS23" s="43">
        <v>0</v>
      </c>
      <c r="CT23" s="43">
        <v>1935915601</v>
      </c>
      <c r="CU23" s="43">
        <v>0</v>
      </c>
      <c r="CV23" s="43">
        <v>0</v>
      </c>
      <c r="CW23" s="43">
        <v>0</v>
      </c>
      <c r="CX23" s="43">
        <v>0</v>
      </c>
      <c r="CY23" s="43">
        <v>2831.76</v>
      </c>
      <c r="CZ23" s="43">
        <v>0</v>
      </c>
      <c r="DA23" s="43">
        <v>508705254.1500001</v>
      </c>
      <c r="DB23" s="43">
        <v>2170773.29</v>
      </c>
      <c r="DC23" s="43">
        <v>-115493.53</v>
      </c>
      <c r="DD23" s="43">
        <v>0</v>
      </c>
      <c r="DE23" s="43">
        <v>123251086.73</v>
      </c>
      <c r="DF23" s="43">
        <v>22192449.27</v>
      </c>
      <c r="DG23" s="43">
        <v>218842824.25</v>
      </c>
      <c r="DH23" s="43">
        <v>62187307.549999997</v>
      </c>
      <c r="DI23" s="43">
        <v>381210763.15999997</v>
      </c>
      <c r="DJ23" s="43">
        <v>-301034456.56999993</v>
      </c>
      <c r="DK23" s="43">
        <v>0</v>
      </c>
      <c r="DL23" s="43">
        <v>44.999999985098839</v>
      </c>
      <c r="DM23" s="43">
        <v>1906649.27</v>
      </c>
      <c r="DN23" s="43">
        <v>0</v>
      </c>
      <c r="DO23" s="43">
        <v>0</v>
      </c>
      <c r="DP23" s="43">
        <v>0</v>
      </c>
      <c r="DQ23" s="43">
        <v>74990656.819999993</v>
      </c>
      <c r="DR23" s="43">
        <v>-76897261.090000004</v>
      </c>
      <c r="DS23" s="43">
        <v>0</v>
      </c>
      <c r="DT23" s="43">
        <v>0</v>
      </c>
      <c r="DU23" s="43">
        <v>0</v>
      </c>
      <c r="DV23" s="43">
        <v>0</v>
      </c>
      <c r="DW23" s="43">
        <v>0</v>
      </c>
      <c r="DX23" s="43">
        <v>1658741477.3900001</v>
      </c>
      <c r="DY23" s="43">
        <v>0</v>
      </c>
      <c r="DZ23" s="43">
        <v>0</v>
      </c>
      <c r="EA23" s="43">
        <v>0</v>
      </c>
      <c r="EB23" s="43">
        <v>0</v>
      </c>
      <c r="EC23" s="43">
        <v>1527074372.6600001</v>
      </c>
      <c r="ED23" s="43">
        <v>131667104.73</v>
      </c>
      <c r="EE23" s="43">
        <v>0</v>
      </c>
      <c r="EF23" s="43">
        <v>0</v>
      </c>
    </row>
    <row r="24" spans="1:136" ht="13.5" customHeight="1">
      <c r="A24" s="40" t="s">
        <v>9</v>
      </c>
      <c r="B24" s="41">
        <v>1025</v>
      </c>
      <c r="C24" s="42" t="s">
        <v>415</v>
      </c>
      <c r="D24" s="43">
        <v>15422740465.249998</v>
      </c>
      <c r="E24" s="43">
        <v>6896113950.4899998</v>
      </c>
      <c r="F24" s="43">
        <v>0</v>
      </c>
      <c r="G24" s="43">
        <v>0</v>
      </c>
      <c r="H24" s="43">
        <v>5854375059.8199997</v>
      </c>
      <c r="I24" s="43">
        <v>0</v>
      </c>
      <c r="J24" s="43">
        <v>1041738890.67</v>
      </c>
      <c r="K24" s="43">
        <v>0</v>
      </c>
      <c r="L24" s="43">
        <v>881309625.63</v>
      </c>
      <c r="M24" s="43">
        <v>0</v>
      </c>
      <c r="N24" s="43">
        <v>59380305.509999998</v>
      </c>
      <c r="O24" s="43">
        <v>821929320.12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3050717512.6099992</v>
      </c>
      <c r="V24" s="43">
        <v>2221214005.4399996</v>
      </c>
      <c r="W24" s="43">
        <v>-25870502.760000002</v>
      </c>
      <c r="X24" s="43">
        <v>855374008.71000016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362952281.66000003</v>
      </c>
      <c r="AE24" s="43">
        <v>-362952280.44</v>
      </c>
      <c r="AF24" s="43">
        <v>748170.56</v>
      </c>
      <c r="AG24" s="43">
        <v>0</v>
      </c>
      <c r="AH24" s="43">
        <v>0</v>
      </c>
      <c r="AI24" s="43">
        <v>0</v>
      </c>
      <c r="AJ24" s="43">
        <v>685188.76</v>
      </c>
      <c r="AK24" s="43">
        <v>62981.8</v>
      </c>
      <c r="AL24" s="43">
        <v>0</v>
      </c>
      <c r="AM24" s="43">
        <v>0</v>
      </c>
      <c r="AN24" s="43">
        <v>0</v>
      </c>
      <c r="AO24" s="43">
        <v>0</v>
      </c>
      <c r="AP24" s="43">
        <v>2467730445.73</v>
      </c>
      <c r="AQ24" s="43">
        <v>0</v>
      </c>
      <c r="AR24" s="43">
        <v>0</v>
      </c>
      <c r="AS24" s="43">
        <v>0</v>
      </c>
      <c r="AT24" s="43">
        <v>2684711675.73</v>
      </c>
      <c r="AU24" s="43">
        <v>-216981230</v>
      </c>
      <c r="AV24" s="43">
        <v>0</v>
      </c>
      <c r="AW24" s="43">
        <v>0</v>
      </c>
      <c r="AX24" s="43">
        <v>1966804330.97</v>
      </c>
      <c r="AY24" s="43">
        <v>1526901273.52</v>
      </c>
      <c r="AZ24" s="43">
        <v>0</v>
      </c>
      <c r="BA24" s="43">
        <v>0</v>
      </c>
      <c r="BB24" s="43">
        <v>439903057.44999999</v>
      </c>
      <c r="BC24" s="43">
        <v>159316429.25999999</v>
      </c>
      <c r="BD24" s="43">
        <v>0</v>
      </c>
      <c r="BE24" s="43">
        <v>133730988.16</v>
      </c>
      <c r="BF24" s="43">
        <v>0</v>
      </c>
      <c r="BG24" s="43">
        <v>24904381.07</v>
      </c>
      <c r="BH24" s="43">
        <v>145140.07999999999</v>
      </c>
      <c r="BI24" s="43">
        <v>0</v>
      </c>
      <c r="BJ24" s="43">
        <v>535919.94999999995</v>
      </c>
      <c r="BK24" s="43">
        <v>0</v>
      </c>
      <c r="BL24" s="43">
        <v>1726083131.96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</v>
      </c>
      <c r="CB24" s="43">
        <v>0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92322.3</v>
      </c>
      <c r="CI24" s="43">
        <v>0</v>
      </c>
      <c r="CJ24" s="43">
        <v>0</v>
      </c>
      <c r="CK24" s="43">
        <v>92322.3</v>
      </c>
      <c r="CL24" s="43">
        <v>0</v>
      </c>
      <c r="CM24" s="43">
        <v>0</v>
      </c>
      <c r="CN24" s="43">
        <v>0</v>
      </c>
      <c r="CO24" s="43">
        <v>0</v>
      </c>
      <c r="CP24" s="43">
        <v>1244178833.1500001</v>
      </c>
      <c r="CQ24" s="43">
        <v>0</v>
      </c>
      <c r="CR24" s="43">
        <v>0</v>
      </c>
      <c r="CS24" s="43">
        <v>0</v>
      </c>
      <c r="CT24" s="43">
        <v>1227527177.72</v>
      </c>
      <c r="CU24" s="43">
        <v>0</v>
      </c>
      <c r="CV24" s="43">
        <v>0</v>
      </c>
      <c r="CW24" s="43">
        <v>0</v>
      </c>
      <c r="CX24" s="43">
        <v>0</v>
      </c>
      <c r="CY24" s="43">
        <v>16651655.43</v>
      </c>
      <c r="CZ24" s="43">
        <v>0</v>
      </c>
      <c r="DA24" s="43">
        <v>184313877.39999998</v>
      </c>
      <c r="DB24" s="43">
        <v>0</v>
      </c>
      <c r="DC24" s="43">
        <v>0</v>
      </c>
      <c r="DD24" s="43">
        <v>0</v>
      </c>
      <c r="DE24" s="43">
        <v>0</v>
      </c>
      <c r="DF24" s="43">
        <v>42233194.939999998</v>
      </c>
      <c r="DG24" s="43">
        <v>0</v>
      </c>
      <c r="DH24" s="43">
        <v>45120789.07</v>
      </c>
      <c r="DI24" s="43">
        <v>144267497.06</v>
      </c>
      <c r="DJ24" s="43">
        <v>-47307603.670000002</v>
      </c>
      <c r="DK24" s="43">
        <v>0</v>
      </c>
      <c r="DL24" s="43">
        <v>63848110.660000004</v>
      </c>
      <c r="DM24" s="43">
        <v>3524645.64</v>
      </c>
      <c r="DN24" s="43">
        <v>0</v>
      </c>
      <c r="DO24" s="43">
        <v>0</v>
      </c>
      <c r="DP24" s="43">
        <v>0</v>
      </c>
      <c r="DQ24" s="43">
        <v>116839910.28</v>
      </c>
      <c r="DR24" s="43">
        <v>-56516445.259999998</v>
      </c>
      <c r="DS24" s="43">
        <v>0</v>
      </c>
      <c r="DT24" s="43">
        <v>2760480</v>
      </c>
      <c r="DU24" s="43">
        <v>0</v>
      </c>
      <c r="DV24" s="43">
        <v>0</v>
      </c>
      <c r="DW24" s="43">
        <v>2760480</v>
      </c>
      <c r="DX24" s="43">
        <v>230889508.44999999</v>
      </c>
      <c r="DY24" s="43">
        <v>0</v>
      </c>
      <c r="DZ24" s="43">
        <v>0</v>
      </c>
      <c r="EA24" s="43">
        <v>0</v>
      </c>
      <c r="EB24" s="43">
        <v>0</v>
      </c>
      <c r="EC24" s="43">
        <v>230889508.44999999</v>
      </c>
      <c r="ED24" s="43">
        <v>0</v>
      </c>
      <c r="EE24" s="43">
        <v>0</v>
      </c>
      <c r="EF24" s="43">
        <v>0</v>
      </c>
    </row>
    <row r="25" spans="1:136" ht="13.5" customHeight="1">
      <c r="A25" s="40" t="s">
        <v>71</v>
      </c>
      <c r="B25" s="41">
        <v>1027</v>
      </c>
      <c r="C25" s="42" t="s">
        <v>415</v>
      </c>
      <c r="D25" s="43">
        <v>3923542634.6900077</v>
      </c>
      <c r="E25" s="43">
        <v>2292945086.3600049</v>
      </c>
      <c r="F25" s="43">
        <v>0</v>
      </c>
      <c r="G25" s="43">
        <v>0</v>
      </c>
      <c r="H25" s="43">
        <v>2256850679.5500031</v>
      </c>
      <c r="I25" s="43">
        <v>0</v>
      </c>
      <c r="J25" s="43">
        <v>36077943.990001678</v>
      </c>
      <c r="K25" s="43">
        <v>16462.820000171661</v>
      </c>
      <c r="L25" s="43">
        <v>221421462.51000124</v>
      </c>
      <c r="M25" s="43">
        <v>221421462.51000124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558676449.15000057</v>
      </c>
      <c r="V25" s="43">
        <v>611366177.95000112</v>
      </c>
      <c r="W25" s="43">
        <v>-59443619.790000081</v>
      </c>
      <c r="X25" s="43">
        <v>6753890.9899999797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201223345.40999985</v>
      </c>
      <c r="AE25" s="43">
        <v>-201223345.41000032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204488222.7400001</v>
      </c>
      <c r="AQ25" s="43">
        <v>0</v>
      </c>
      <c r="AR25" s="43">
        <v>0</v>
      </c>
      <c r="AS25" s="43">
        <v>0</v>
      </c>
      <c r="AT25" s="43">
        <v>204488222.7400001</v>
      </c>
      <c r="AU25" s="43">
        <v>0</v>
      </c>
      <c r="AV25" s="43">
        <v>0</v>
      </c>
      <c r="AW25" s="43">
        <v>0</v>
      </c>
      <c r="AX25" s="43">
        <v>447813195.19000053</v>
      </c>
      <c r="AY25" s="43">
        <v>282009369.02000046</v>
      </c>
      <c r="AZ25" s="43">
        <v>0</v>
      </c>
      <c r="BA25" s="43">
        <v>0</v>
      </c>
      <c r="BB25" s="43">
        <v>165803826.17000008</v>
      </c>
      <c r="BC25" s="43">
        <v>198198218.74000025</v>
      </c>
      <c r="BD25" s="43">
        <v>0</v>
      </c>
      <c r="BE25" s="43">
        <v>193710635.05000001</v>
      </c>
      <c r="BF25" s="43">
        <v>0</v>
      </c>
      <c r="BG25" s="43">
        <v>7560118.7000000179</v>
      </c>
      <c r="BH25" s="43">
        <v>-427702.01999999955</v>
      </c>
      <c r="BI25" s="43">
        <v>0</v>
      </c>
      <c r="BJ25" s="43">
        <v>-2644832.9899997711</v>
      </c>
      <c r="BK25" s="43">
        <v>0</v>
      </c>
      <c r="BL25" s="43">
        <v>294188587.49000001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641862.61</v>
      </c>
      <c r="CI25" s="43">
        <v>0</v>
      </c>
      <c r="CJ25" s="43">
        <v>0</v>
      </c>
      <c r="CK25" s="43">
        <v>641862.61</v>
      </c>
      <c r="CL25" s="43">
        <v>0</v>
      </c>
      <c r="CM25" s="43">
        <v>0</v>
      </c>
      <c r="CN25" s="43">
        <v>0</v>
      </c>
      <c r="CO25" s="43">
        <v>0</v>
      </c>
      <c r="CP25" s="43">
        <v>16651655.43</v>
      </c>
      <c r="CQ25" s="43">
        <v>0</v>
      </c>
      <c r="CR25" s="43">
        <v>16651655.43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77147527.769999996</v>
      </c>
      <c r="DB25" s="43">
        <v>0</v>
      </c>
      <c r="DC25" s="43">
        <v>0</v>
      </c>
      <c r="DD25" s="43">
        <v>0</v>
      </c>
      <c r="DE25" s="43">
        <v>0</v>
      </c>
      <c r="DF25" s="43">
        <v>46266876.829999998</v>
      </c>
      <c r="DG25" s="43">
        <v>45866799.780000001</v>
      </c>
      <c r="DH25" s="43">
        <v>8529160.25</v>
      </c>
      <c r="DI25" s="43">
        <v>21011298.409999996</v>
      </c>
      <c r="DJ25" s="43">
        <v>-44526607.5</v>
      </c>
      <c r="DK25" s="43">
        <v>0</v>
      </c>
      <c r="DL25" s="43">
        <v>27208105.520000003</v>
      </c>
      <c r="DM25" s="43">
        <v>29115982.260000002</v>
      </c>
      <c r="DN25" s="43">
        <v>0</v>
      </c>
      <c r="DO25" s="43">
        <v>0</v>
      </c>
      <c r="DP25" s="43">
        <v>0</v>
      </c>
      <c r="DQ25" s="43">
        <v>0</v>
      </c>
      <c r="DR25" s="43">
        <v>-16426546.739999998</v>
      </c>
      <c r="DS25" s="43">
        <v>14518670</v>
      </c>
      <c r="DT25" s="43">
        <v>767434.83000000007</v>
      </c>
      <c r="DU25" s="43">
        <v>0</v>
      </c>
      <c r="DV25" s="43">
        <v>0</v>
      </c>
      <c r="DW25" s="43">
        <v>767434.83000000007</v>
      </c>
      <c r="DX25" s="43">
        <v>171772001.33000001</v>
      </c>
      <c r="DY25" s="43">
        <v>0</v>
      </c>
      <c r="DZ25" s="43">
        <v>0</v>
      </c>
      <c r="EA25" s="43">
        <v>0</v>
      </c>
      <c r="EB25" s="43">
        <v>0</v>
      </c>
      <c r="EC25" s="43">
        <v>171772001.33000001</v>
      </c>
      <c r="ED25" s="43">
        <v>0</v>
      </c>
      <c r="EE25" s="43">
        <v>0</v>
      </c>
      <c r="EF25" s="43">
        <v>0</v>
      </c>
    </row>
    <row r="26" spans="1:136" ht="13.5" customHeight="1">
      <c r="A26" s="40" t="s">
        <v>10</v>
      </c>
      <c r="B26" s="41">
        <v>1028</v>
      </c>
      <c r="C26" s="42" t="s">
        <v>415</v>
      </c>
      <c r="D26" s="43">
        <v>30403931290.580002</v>
      </c>
      <c r="E26" s="43">
        <v>11363025292.75</v>
      </c>
      <c r="F26" s="43">
        <v>0</v>
      </c>
      <c r="G26" s="43">
        <v>0</v>
      </c>
      <c r="H26" s="43">
        <v>8020536688.0100002</v>
      </c>
      <c r="I26" s="43">
        <v>0</v>
      </c>
      <c r="J26" s="43">
        <v>3342488604.7399998</v>
      </c>
      <c r="K26" s="43">
        <v>0</v>
      </c>
      <c r="L26" s="43">
        <v>7985105870.0200005</v>
      </c>
      <c r="M26" s="43">
        <v>7985105870.0200005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8313527922.5199995</v>
      </c>
      <c r="V26" s="43">
        <v>8135325208.8599997</v>
      </c>
      <c r="W26" s="43">
        <v>-52361102.480000004</v>
      </c>
      <c r="X26" s="43">
        <v>230563816.17000002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1265899100.0999999</v>
      </c>
      <c r="AE26" s="43">
        <v>-1265899100.1300001</v>
      </c>
      <c r="AF26" s="43">
        <v>5737877.0199999996</v>
      </c>
      <c r="AG26" s="43">
        <v>0</v>
      </c>
      <c r="AH26" s="43">
        <v>0</v>
      </c>
      <c r="AI26" s="43">
        <v>0</v>
      </c>
      <c r="AJ26" s="43">
        <v>0</v>
      </c>
      <c r="AK26" s="43">
        <v>-488695.14000000013</v>
      </c>
      <c r="AL26" s="43">
        <v>6226572.1600000001</v>
      </c>
      <c r="AM26" s="43">
        <v>0</v>
      </c>
      <c r="AN26" s="43">
        <v>0</v>
      </c>
      <c r="AO26" s="43">
        <v>0</v>
      </c>
      <c r="AP26" s="43">
        <v>51727613.110000007</v>
      </c>
      <c r="AQ26" s="43">
        <v>0</v>
      </c>
      <c r="AR26" s="43">
        <v>0</v>
      </c>
      <c r="AS26" s="43">
        <v>0</v>
      </c>
      <c r="AT26" s="43">
        <v>51727613.110000007</v>
      </c>
      <c r="AU26" s="43">
        <v>0</v>
      </c>
      <c r="AV26" s="43">
        <v>0</v>
      </c>
      <c r="AW26" s="43">
        <v>0</v>
      </c>
      <c r="AX26" s="43">
        <v>2203422853.98</v>
      </c>
      <c r="AY26" s="43">
        <v>1910321417.8600001</v>
      </c>
      <c r="AZ26" s="43">
        <v>0</v>
      </c>
      <c r="BA26" s="43">
        <v>0</v>
      </c>
      <c r="BB26" s="43">
        <v>293101436.12</v>
      </c>
      <c r="BC26" s="43">
        <v>481383861.18000007</v>
      </c>
      <c r="BD26" s="43">
        <v>3245555.3600000003</v>
      </c>
      <c r="BE26" s="43">
        <v>366309372.34000003</v>
      </c>
      <c r="BF26" s="43">
        <v>0</v>
      </c>
      <c r="BG26" s="43">
        <v>2041828.89</v>
      </c>
      <c r="BH26" s="43">
        <v>107517840.43000001</v>
      </c>
      <c r="BI26" s="43">
        <v>0</v>
      </c>
      <c r="BJ26" s="43">
        <v>2269264.1599999997</v>
      </c>
      <c r="BK26" s="43">
        <v>0</v>
      </c>
      <c r="BL26" s="43">
        <v>3280325930.0499997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315707.78000000003</v>
      </c>
      <c r="CI26" s="43">
        <v>0</v>
      </c>
      <c r="CJ26" s="43">
        <v>0</v>
      </c>
      <c r="CK26" s="43">
        <v>315707.78000000003</v>
      </c>
      <c r="CL26" s="43">
        <v>0</v>
      </c>
      <c r="CM26" s="43">
        <v>0</v>
      </c>
      <c r="CN26" s="43">
        <v>0</v>
      </c>
      <c r="CO26" s="43">
        <v>0</v>
      </c>
      <c r="CP26" s="43">
        <v>16662848.539999999</v>
      </c>
      <c r="CQ26" s="43">
        <v>11193.11</v>
      </c>
      <c r="CR26" s="43">
        <v>16651655.43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1982254825.5199997</v>
      </c>
      <c r="DB26" s="43">
        <v>892076.53999999992</v>
      </c>
      <c r="DC26" s="43">
        <v>0</v>
      </c>
      <c r="DD26" s="43">
        <v>1882981400.6399999</v>
      </c>
      <c r="DE26" s="43">
        <v>0</v>
      </c>
      <c r="DF26" s="43">
        <v>111953577.24000001</v>
      </c>
      <c r="DG26" s="43">
        <v>98863830.049999997</v>
      </c>
      <c r="DH26" s="43">
        <v>17429249.579999998</v>
      </c>
      <c r="DI26" s="43">
        <v>45469119.480000004</v>
      </c>
      <c r="DJ26" s="43">
        <v>-175334428.00999999</v>
      </c>
      <c r="DK26" s="43">
        <v>0</v>
      </c>
      <c r="DL26" s="43">
        <v>818925026.61000013</v>
      </c>
      <c r="DM26" s="43">
        <v>1172341481.46</v>
      </c>
      <c r="DN26" s="43">
        <v>0</v>
      </c>
      <c r="DO26" s="43">
        <v>0</v>
      </c>
      <c r="DP26" s="43">
        <v>0</v>
      </c>
      <c r="DQ26" s="43">
        <v>0</v>
      </c>
      <c r="DR26" s="43">
        <v>-414376933.16999996</v>
      </c>
      <c r="DS26" s="43">
        <v>60960478.319999993</v>
      </c>
      <c r="DT26" s="43">
        <v>602813.25</v>
      </c>
      <c r="DU26" s="43">
        <v>0</v>
      </c>
      <c r="DV26" s="43">
        <v>0</v>
      </c>
      <c r="DW26" s="43">
        <v>602813.25</v>
      </c>
      <c r="DX26" s="43">
        <v>461564708.35000002</v>
      </c>
      <c r="DY26" s="43">
        <v>0</v>
      </c>
      <c r="DZ26" s="43">
        <v>0</v>
      </c>
      <c r="EA26" s="43">
        <v>0</v>
      </c>
      <c r="EB26" s="43">
        <v>0</v>
      </c>
      <c r="EC26" s="43">
        <v>461564708.35000002</v>
      </c>
      <c r="ED26" s="43">
        <v>0</v>
      </c>
      <c r="EE26" s="43">
        <v>0</v>
      </c>
      <c r="EF26" s="43">
        <v>0</v>
      </c>
    </row>
    <row r="27" spans="1:136" ht="13.5" customHeight="1">
      <c r="A27" s="40" t="s">
        <v>12</v>
      </c>
      <c r="B27" s="41">
        <v>1030</v>
      </c>
      <c r="C27" s="42" t="s">
        <v>415</v>
      </c>
      <c r="D27" s="43">
        <v>55997013525.849991</v>
      </c>
      <c r="E27" s="43">
        <v>3328024399.0599999</v>
      </c>
      <c r="F27" s="43">
        <v>0</v>
      </c>
      <c r="G27" s="43">
        <v>0</v>
      </c>
      <c r="H27" s="43">
        <v>1034739663.4</v>
      </c>
      <c r="I27" s="43">
        <v>-0.01</v>
      </c>
      <c r="J27" s="43">
        <v>2293284735.1900001</v>
      </c>
      <c r="K27" s="43">
        <v>0.48</v>
      </c>
      <c r="L27" s="43">
        <v>41874474995.269997</v>
      </c>
      <c r="M27" s="43">
        <v>16032777120.530001</v>
      </c>
      <c r="N27" s="43">
        <v>0</v>
      </c>
      <c r="O27" s="43">
        <v>25841697874.739998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5662967514.7399998</v>
      </c>
      <c r="V27" s="43">
        <v>5225094045.4899998</v>
      </c>
      <c r="W27" s="43">
        <v>-280470247.93000001</v>
      </c>
      <c r="X27" s="43">
        <v>718343717.17999995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729299900.59000003</v>
      </c>
      <c r="AE27" s="43">
        <v>-729299900.59000003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270614341.66999996</v>
      </c>
      <c r="AQ27" s="43">
        <v>0</v>
      </c>
      <c r="AR27" s="43">
        <v>0</v>
      </c>
      <c r="AS27" s="43">
        <v>1719223.2</v>
      </c>
      <c r="AT27" s="43">
        <v>413960765.59999996</v>
      </c>
      <c r="AU27" s="43">
        <v>-145065647.13</v>
      </c>
      <c r="AV27" s="43">
        <v>0</v>
      </c>
      <c r="AW27" s="43">
        <v>0</v>
      </c>
      <c r="AX27" s="43">
        <v>4858023681.2399998</v>
      </c>
      <c r="AY27" s="43">
        <v>2922156488.3000002</v>
      </c>
      <c r="AZ27" s="43">
        <v>0</v>
      </c>
      <c r="BA27" s="43">
        <v>706319678.14999998</v>
      </c>
      <c r="BB27" s="43">
        <v>1229547514.79</v>
      </c>
      <c r="BC27" s="43">
        <v>2908593.87</v>
      </c>
      <c r="BD27" s="43">
        <v>0</v>
      </c>
      <c r="BE27" s="43">
        <v>189699.98</v>
      </c>
      <c r="BF27" s="43">
        <v>0</v>
      </c>
      <c r="BG27" s="43">
        <v>2.92</v>
      </c>
      <c r="BH27" s="43">
        <v>2665668.83</v>
      </c>
      <c r="BI27" s="43">
        <v>0</v>
      </c>
      <c r="BJ27" s="43">
        <v>0</v>
      </c>
      <c r="BK27" s="43">
        <v>53222.14</v>
      </c>
      <c r="BL27" s="43">
        <v>2752265177.8400002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23446520.939999998</v>
      </c>
      <c r="CQ27" s="43">
        <v>0</v>
      </c>
      <c r="CR27" s="43">
        <v>16651655.439999999</v>
      </c>
      <c r="CS27" s="43">
        <v>0</v>
      </c>
      <c r="CT27" s="43">
        <v>23916267.5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-17121402</v>
      </c>
      <c r="DA27" s="43">
        <v>1115548989.76</v>
      </c>
      <c r="DB27" s="43">
        <v>0</v>
      </c>
      <c r="DC27" s="43">
        <v>0</v>
      </c>
      <c r="DD27" s="43">
        <v>157035098</v>
      </c>
      <c r="DE27" s="43">
        <v>229868232.65000001</v>
      </c>
      <c r="DF27" s="43">
        <v>136558392.00999999</v>
      </c>
      <c r="DG27" s="43">
        <v>301458917.86000001</v>
      </c>
      <c r="DH27" s="43">
        <v>195096003.5</v>
      </c>
      <c r="DI27" s="43">
        <v>418519104.69</v>
      </c>
      <c r="DJ27" s="43">
        <v>-322986758.95000005</v>
      </c>
      <c r="DK27" s="43">
        <v>0</v>
      </c>
      <c r="DL27" s="43">
        <v>1018619151.1900002</v>
      </c>
      <c r="DM27" s="43">
        <v>568482822.60000002</v>
      </c>
      <c r="DN27" s="43">
        <v>0</v>
      </c>
      <c r="DO27" s="43">
        <v>0</v>
      </c>
      <c r="DP27" s="43">
        <v>677199910.24000001</v>
      </c>
      <c r="DQ27" s="43">
        <v>0</v>
      </c>
      <c r="DR27" s="43">
        <v>-227063581.65000001</v>
      </c>
      <c r="DS27" s="43">
        <v>0</v>
      </c>
      <c r="DT27" s="43">
        <v>4482122</v>
      </c>
      <c r="DU27" s="43">
        <v>0</v>
      </c>
      <c r="DV27" s="43">
        <v>0</v>
      </c>
      <c r="DW27" s="43">
        <v>4482122</v>
      </c>
      <c r="DX27" s="43">
        <v>590168393.95000005</v>
      </c>
      <c r="DY27" s="43">
        <v>0</v>
      </c>
      <c r="DZ27" s="43">
        <v>0</v>
      </c>
      <c r="EA27" s="43">
        <v>0</v>
      </c>
      <c r="EB27" s="43">
        <v>0</v>
      </c>
      <c r="EC27" s="43">
        <v>590168393.95000005</v>
      </c>
      <c r="ED27" s="43">
        <v>0</v>
      </c>
      <c r="EE27" s="43">
        <v>0</v>
      </c>
      <c r="EF27" s="43">
        <v>0</v>
      </c>
    </row>
    <row r="28" spans="1:136" ht="13.5" customHeight="1">
      <c r="A28" s="40" t="s">
        <v>78</v>
      </c>
      <c r="B28" s="41">
        <v>1031</v>
      </c>
      <c r="C28" s="42" t="s">
        <v>415</v>
      </c>
      <c r="D28" s="43">
        <v>2601695698.6300001</v>
      </c>
      <c r="E28" s="43">
        <v>1930259441.3999999</v>
      </c>
      <c r="F28" s="43">
        <v>0</v>
      </c>
      <c r="G28" s="43">
        <v>0</v>
      </c>
      <c r="H28" s="43">
        <v>1733913996.9499998</v>
      </c>
      <c r="I28" s="43">
        <v>0</v>
      </c>
      <c r="J28" s="43">
        <v>196345444.44999999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422556175.78000003</v>
      </c>
      <c r="V28" s="43">
        <v>456871626.57000005</v>
      </c>
      <c r="W28" s="43">
        <v>-36862321.600000001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3775489.57</v>
      </c>
      <c r="AE28" s="43">
        <v>-1228618.76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441916.63</v>
      </c>
      <c r="AQ28" s="43">
        <v>0</v>
      </c>
      <c r="AR28" s="43">
        <v>0</v>
      </c>
      <c r="AS28" s="43">
        <v>0</v>
      </c>
      <c r="AT28" s="43">
        <v>441916.63</v>
      </c>
      <c r="AU28" s="43">
        <v>0</v>
      </c>
      <c r="AV28" s="43">
        <v>0</v>
      </c>
      <c r="AW28" s="43">
        <v>0</v>
      </c>
      <c r="AX28" s="43">
        <v>217721568.81</v>
      </c>
      <c r="AY28" s="43">
        <v>183787540</v>
      </c>
      <c r="AZ28" s="43">
        <v>0</v>
      </c>
      <c r="BA28" s="43">
        <v>0</v>
      </c>
      <c r="BB28" s="43">
        <v>33934028.810000002</v>
      </c>
      <c r="BC28" s="43">
        <v>30716596.009999998</v>
      </c>
      <c r="BD28" s="43">
        <v>0</v>
      </c>
      <c r="BE28" s="43">
        <v>30605229.43</v>
      </c>
      <c r="BF28" s="43">
        <v>0</v>
      </c>
      <c r="BG28" s="43">
        <v>0</v>
      </c>
      <c r="BH28" s="43">
        <v>111366.58</v>
      </c>
      <c r="BI28" s="43">
        <v>0</v>
      </c>
      <c r="BJ28" s="43">
        <v>0</v>
      </c>
      <c r="BK28" s="43">
        <v>0</v>
      </c>
      <c r="BL28" s="43">
        <v>99255464.429999992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19555325.710000001</v>
      </c>
      <c r="CI28" s="43">
        <v>0</v>
      </c>
      <c r="CJ28" s="43">
        <v>0</v>
      </c>
      <c r="CK28" s="43">
        <v>19555325.710000001</v>
      </c>
      <c r="CL28" s="43">
        <v>0</v>
      </c>
      <c r="CM28" s="43">
        <v>0</v>
      </c>
      <c r="CN28" s="43">
        <v>0</v>
      </c>
      <c r="CO28" s="43">
        <v>0</v>
      </c>
      <c r="CP28" s="43">
        <v>63572</v>
      </c>
      <c r="CQ28" s="43">
        <v>63572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15447932.99</v>
      </c>
      <c r="DB28" s="43">
        <v>0</v>
      </c>
      <c r="DC28" s="43">
        <v>0</v>
      </c>
      <c r="DD28" s="43">
        <v>0</v>
      </c>
      <c r="DE28" s="43">
        <v>6044553.9699999997</v>
      </c>
      <c r="DF28" s="43">
        <v>900653.93</v>
      </c>
      <c r="DG28" s="43">
        <v>0</v>
      </c>
      <c r="DH28" s="43">
        <v>3883742.37</v>
      </c>
      <c r="DI28" s="43">
        <v>9093816.8000000007</v>
      </c>
      <c r="DJ28" s="43">
        <v>-4474834.08</v>
      </c>
      <c r="DK28" s="43">
        <v>0</v>
      </c>
      <c r="DL28" s="43">
        <v>39767365.209999993</v>
      </c>
      <c r="DM28" s="43">
        <v>3729061.92</v>
      </c>
      <c r="DN28" s="43">
        <v>0</v>
      </c>
      <c r="DO28" s="43">
        <v>0</v>
      </c>
      <c r="DP28" s="43">
        <v>0</v>
      </c>
      <c r="DQ28" s="43">
        <v>74269306.599999994</v>
      </c>
      <c r="DR28" s="43">
        <v>-38231003.310000002</v>
      </c>
      <c r="DS28" s="43">
        <v>0</v>
      </c>
      <c r="DT28" s="43">
        <v>0</v>
      </c>
      <c r="DU28" s="43">
        <v>0</v>
      </c>
      <c r="DV28" s="43">
        <v>0</v>
      </c>
      <c r="DW28" s="43">
        <v>0</v>
      </c>
      <c r="DX28" s="43">
        <v>24421268.52</v>
      </c>
      <c r="DY28" s="43">
        <v>0</v>
      </c>
      <c r="DZ28" s="43">
        <v>0</v>
      </c>
      <c r="EA28" s="43">
        <v>0</v>
      </c>
      <c r="EB28" s="43">
        <v>0</v>
      </c>
      <c r="EC28" s="43">
        <v>24421268.52</v>
      </c>
      <c r="ED28" s="43">
        <v>0</v>
      </c>
      <c r="EE28" s="43">
        <v>0</v>
      </c>
      <c r="EF28" s="43">
        <v>0</v>
      </c>
    </row>
    <row r="29" spans="1:136" ht="13.5" customHeight="1">
      <c r="A29" s="40" t="s">
        <v>81</v>
      </c>
      <c r="B29" s="41">
        <v>1032</v>
      </c>
      <c r="C29" s="42" t="s">
        <v>415</v>
      </c>
      <c r="D29" s="43">
        <v>42538056912.330002</v>
      </c>
      <c r="E29" s="43">
        <v>23133168606.119995</v>
      </c>
      <c r="F29" s="43">
        <v>112047.03</v>
      </c>
      <c r="G29" s="43">
        <v>12</v>
      </c>
      <c r="H29" s="43">
        <v>19805139778.399998</v>
      </c>
      <c r="I29" s="43">
        <v>0</v>
      </c>
      <c r="J29" s="43">
        <v>3327916768.6900001</v>
      </c>
      <c r="K29" s="43">
        <v>0</v>
      </c>
      <c r="L29" s="43">
        <v>5983337893.9300003</v>
      </c>
      <c r="M29" s="43">
        <v>0</v>
      </c>
      <c r="N29" s="43">
        <v>4273074552.6399999</v>
      </c>
      <c r="O29" s="43">
        <v>1710263341.29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9488764178.4300003</v>
      </c>
      <c r="V29" s="43">
        <v>9505486026.8500004</v>
      </c>
      <c r="W29" s="43">
        <v>-16721848.419999998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1620931439.26</v>
      </c>
      <c r="AE29" s="43">
        <v>-1620931439.26</v>
      </c>
      <c r="AF29" s="43">
        <v>4487618.87</v>
      </c>
      <c r="AG29" s="43">
        <v>0</v>
      </c>
      <c r="AH29" s="43">
        <v>0</v>
      </c>
      <c r="AI29" s="43">
        <v>0</v>
      </c>
      <c r="AJ29" s="43">
        <v>0</v>
      </c>
      <c r="AK29" s="43">
        <v>4487618.87</v>
      </c>
      <c r="AL29" s="43">
        <v>0</v>
      </c>
      <c r="AM29" s="43">
        <v>0</v>
      </c>
      <c r="AN29" s="43">
        <v>0</v>
      </c>
      <c r="AO29" s="43">
        <v>0</v>
      </c>
      <c r="AP29" s="43">
        <v>288743273.47000003</v>
      </c>
      <c r="AQ29" s="43">
        <v>0</v>
      </c>
      <c r="AR29" s="43">
        <v>0</v>
      </c>
      <c r="AS29" s="43">
        <v>25778299.829999998</v>
      </c>
      <c r="AT29" s="43">
        <v>262964973.64000005</v>
      </c>
      <c r="AU29" s="43">
        <v>0</v>
      </c>
      <c r="AV29" s="43">
        <v>0</v>
      </c>
      <c r="AW29" s="43">
        <v>0</v>
      </c>
      <c r="AX29" s="43">
        <v>3396386399.7799997</v>
      </c>
      <c r="AY29" s="43">
        <v>2944026807.21</v>
      </c>
      <c r="AZ29" s="43">
        <v>0</v>
      </c>
      <c r="BA29" s="43">
        <v>350786850.94999999</v>
      </c>
      <c r="BB29" s="43">
        <v>101572741.61999989</v>
      </c>
      <c r="BC29" s="43">
        <v>243168941.73000002</v>
      </c>
      <c r="BD29" s="43">
        <v>0</v>
      </c>
      <c r="BE29" s="43">
        <v>242580081.49000001</v>
      </c>
      <c r="BF29" s="43">
        <v>0</v>
      </c>
      <c r="BG29" s="43">
        <v>566370.97000000009</v>
      </c>
      <c r="BH29" s="43">
        <v>0</v>
      </c>
      <c r="BI29" s="43">
        <v>0</v>
      </c>
      <c r="BJ29" s="43">
        <v>22489.27</v>
      </c>
      <c r="BK29" s="43">
        <v>0</v>
      </c>
      <c r="BL29" s="43">
        <v>1677623441.4200003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16666655.43</v>
      </c>
      <c r="CQ29" s="43">
        <v>16651655.43</v>
      </c>
      <c r="CR29" s="43">
        <v>15000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1350511600.9800003</v>
      </c>
      <c r="DB29" s="43">
        <v>0</v>
      </c>
      <c r="DC29" s="43">
        <v>0</v>
      </c>
      <c r="DD29" s="43">
        <v>1243254569.8800001</v>
      </c>
      <c r="DE29" s="43">
        <v>0</v>
      </c>
      <c r="DF29" s="43">
        <v>66140663.680000007</v>
      </c>
      <c r="DG29" s="43">
        <v>270731762.98000002</v>
      </c>
      <c r="DH29" s="43">
        <v>2277122.16</v>
      </c>
      <c r="DI29" s="43">
        <v>31150049</v>
      </c>
      <c r="DJ29" s="43">
        <v>-263042566.72</v>
      </c>
      <c r="DK29" s="43">
        <v>0</v>
      </c>
      <c r="DL29" s="43">
        <v>42858337.020000011</v>
      </c>
      <c r="DM29" s="43">
        <v>118182244.40000001</v>
      </c>
      <c r="DN29" s="43">
        <v>0</v>
      </c>
      <c r="DO29" s="43">
        <v>0</v>
      </c>
      <c r="DP29" s="43">
        <v>0</v>
      </c>
      <c r="DQ29" s="43">
        <v>0</v>
      </c>
      <c r="DR29" s="43">
        <v>-75323907.379999995</v>
      </c>
      <c r="DS29" s="43">
        <v>0</v>
      </c>
      <c r="DT29" s="43">
        <v>13147324.67</v>
      </c>
      <c r="DU29" s="43">
        <v>0</v>
      </c>
      <c r="DV29" s="43">
        <v>0</v>
      </c>
      <c r="DW29" s="43">
        <v>13147324.67</v>
      </c>
      <c r="DX29" s="43">
        <v>254439523.31999999</v>
      </c>
      <c r="DY29" s="43">
        <v>0</v>
      </c>
      <c r="DZ29" s="43">
        <v>0</v>
      </c>
      <c r="EA29" s="43">
        <v>0</v>
      </c>
      <c r="EB29" s="43">
        <v>0</v>
      </c>
      <c r="EC29" s="43">
        <v>254439523.31999999</v>
      </c>
      <c r="ED29" s="43">
        <v>0</v>
      </c>
      <c r="EE29" s="43">
        <v>0</v>
      </c>
      <c r="EF29" s="43">
        <v>0</v>
      </c>
    </row>
    <row r="30" spans="1:136" ht="13.5" customHeight="1">
      <c r="A30" s="40" t="s">
        <v>13</v>
      </c>
      <c r="B30" s="41">
        <v>1034</v>
      </c>
      <c r="C30" s="42" t="s">
        <v>415</v>
      </c>
      <c r="D30" s="43">
        <v>6565419463.9499998</v>
      </c>
      <c r="E30" s="43">
        <v>5071535709.4499998</v>
      </c>
      <c r="F30" s="43">
        <v>0</v>
      </c>
      <c r="G30" s="43">
        <v>0</v>
      </c>
      <c r="H30" s="43">
        <v>4581723154.79</v>
      </c>
      <c r="I30" s="43">
        <v>0</v>
      </c>
      <c r="J30" s="43">
        <v>489812554.66000003</v>
      </c>
      <c r="K30" s="43">
        <v>0</v>
      </c>
      <c r="L30" s="43">
        <v>659990691.14999998</v>
      </c>
      <c r="M30" s="43">
        <v>0</v>
      </c>
      <c r="N30" s="43">
        <v>229101898.66</v>
      </c>
      <c r="O30" s="43">
        <v>430888792.49000001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325783905.16000009</v>
      </c>
      <c r="V30" s="43">
        <v>344186319.86000001</v>
      </c>
      <c r="W30" s="43">
        <v>-18614143.149999999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152015384.71000001</v>
      </c>
      <c r="AE30" s="43">
        <v>-151803656.25999999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71473063.069999993</v>
      </c>
      <c r="AQ30" s="43">
        <v>0</v>
      </c>
      <c r="AR30" s="43">
        <v>0</v>
      </c>
      <c r="AS30" s="43">
        <v>437325.6</v>
      </c>
      <c r="AT30" s="43">
        <v>71035737.469999999</v>
      </c>
      <c r="AU30" s="43">
        <v>0</v>
      </c>
      <c r="AV30" s="43">
        <v>0</v>
      </c>
      <c r="AW30" s="43">
        <v>0</v>
      </c>
      <c r="AX30" s="43">
        <v>346935366.10000002</v>
      </c>
      <c r="AY30" s="43">
        <v>307495525.74000001</v>
      </c>
      <c r="AZ30" s="43">
        <v>0</v>
      </c>
      <c r="BA30" s="43">
        <v>0</v>
      </c>
      <c r="BB30" s="43">
        <v>39439840.359999999</v>
      </c>
      <c r="BC30" s="43">
        <v>89700729.020000011</v>
      </c>
      <c r="BD30" s="43">
        <v>0</v>
      </c>
      <c r="BE30" s="43">
        <v>46079446.600000001</v>
      </c>
      <c r="BF30" s="43">
        <v>0</v>
      </c>
      <c r="BG30" s="43">
        <v>154551.45000000001</v>
      </c>
      <c r="BH30" s="43">
        <v>291180.55</v>
      </c>
      <c r="BI30" s="43">
        <v>0</v>
      </c>
      <c r="BJ30" s="43">
        <v>43175550.420000002</v>
      </c>
      <c r="BK30" s="43">
        <v>0</v>
      </c>
      <c r="BL30" s="43">
        <v>1701235836.97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1535466265.74</v>
      </c>
      <c r="CQ30" s="43">
        <v>0</v>
      </c>
      <c r="CR30" s="43">
        <v>1535416265.74</v>
      </c>
      <c r="CS30" s="43">
        <v>0</v>
      </c>
      <c r="CT30" s="43">
        <v>50000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127678144.77000001</v>
      </c>
      <c r="DB30" s="43">
        <v>2100000</v>
      </c>
      <c r="DC30" s="43">
        <v>0</v>
      </c>
      <c r="DD30" s="43">
        <v>120000000</v>
      </c>
      <c r="DE30" s="43">
        <v>0</v>
      </c>
      <c r="DF30" s="43">
        <v>14017577.869999999</v>
      </c>
      <c r="DG30" s="43">
        <v>2205500</v>
      </c>
      <c r="DH30" s="43">
        <v>9325670.25</v>
      </c>
      <c r="DI30" s="43">
        <v>259033.94</v>
      </c>
      <c r="DJ30" s="43">
        <v>-20229637.289999999</v>
      </c>
      <c r="DK30" s="43">
        <v>0</v>
      </c>
      <c r="DL30" s="43">
        <v>6094866.6600000001</v>
      </c>
      <c r="DM30" s="43">
        <v>12800715.08</v>
      </c>
      <c r="DN30" s="43">
        <v>0</v>
      </c>
      <c r="DO30" s="43">
        <v>0</v>
      </c>
      <c r="DP30" s="43">
        <v>0</v>
      </c>
      <c r="DQ30" s="43">
        <v>0</v>
      </c>
      <c r="DR30" s="43">
        <v>-6705848.4199999999</v>
      </c>
      <c r="DS30" s="43">
        <v>0</v>
      </c>
      <c r="DT30" s="43">
        <v>0</v>
      </c>
      <c r="DU30" s="43">
        <v>0</v>
      </c>
      <c r="DV30" s="43">
        <v>0</v>
      </c>
      <c r="DW30" s="43">
        <v>0</v>
      </c>
      <c r="DX30" s="43">
        <v>31996559.800000001</v>
      </c>
      <c r="DY30" s="43">
        <v>0</v>
      </c>
      <c r="DZ30" s="43">
        <v>0</v>
      </c>
      <c r="EA30" s="43">
        <v>0</v>
      </c>
      <c r="EB30" s="43">
        <v>0</v>
      </c>
      <c r="EC30" s="43">
        <v>31996559.800000001</v>
      </c>
      <c r="ED30" s="43">
        <v>0</v>
      </c>
      <c r="EE30" s="43">
        <v>0</v>
      </c>
      <c r="EF30" s="43">
        <v>0</v>
      </c>
    </row>
    <row r="31" spans="1:136" ht="13.5" customHeight="1">
      <c r="A31" s="40" t="s">
        <v>6</v>
      </c>
      <c r="B31" s="41">
        <v>1035</v>
      </c>
      <c r="C31" s="42" t="s">
        <v>415</v>
      </c>
      <c r="D31" s="43">
        <v>80447397864.720001</v>
      </c>
      <c r="E31" s="43">
        <v>46677061522.139999</v>
      </c>
      <c r="F31" s="43">
        <v>0</v>
      </c>
      <c r="G31" s="43">
        <v>0</v>
      </c>
      <c r="H31" s="43">
        <v>41678579852.549995</v>
      </c>
      <c r="I31" s="43">
        <v>0</v>
      </c>
      <c r="J31" s="43">
        <v>4998481669.5900002</v>
      </c>
      <c r="K31" s="43">
        <v>0</v>
      </c>
      <c r="L31" s="43">
        <v>22047425359.779999</v>
      </c>
      <c r="M31" s="43">
        <v>20524477360.07</v>
      </c>
      <c r="N31" s="43">
        <v>0</v>
      </c>
      <c r="O31" s="43">
        <v>1522947999.71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5516596072.5300007</v>
      </c>
      <c r="V31" s="43">
        <v>5723708440.4900007</v>
      </c>
      <c r="W31" s="43">
        <v>-207740377.90000001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1462040743.9400001</v>
      </c>
      <c r="AE31" s="43">
        <v>-1461412734</v>
      </c>
      <c r="AF31" s="43">
        <v>673159.15</v>
      </c>
      <c r="AG31" s="43">
        <v>66960.25</v>
      </c>
      <c r="AH31" s="43">
        <v>0</v>
      </c>
      <c r="AI31" s="43">
        <v>0</v>
      </c>
      <c r="AJ31" s="43">
        <v>0</v>
      </c>
      <c r="AK31" s="43">
        <v>0</v>
      </c>
      <c r="AL31" s="43">
        <v>606198.9</v>
      </c>
      <c r="AM31" s="43">
        <v>0</v>
      </c>
      <c r="AN31" s="43">
        <v>0</v>
      </c>
      <c r="AO31" s="43">
        <v>0</v>
      </c>
      <c r="AP31" s="43">
        <v>1037983818.3</v>
      </c>
      <c r="AQ31" s="43">
        <v>0</v>
      </c>
      <c r="AR31" s="43">
        <v>0</v>
      </c>
      <c r="AS31" s="43">
        <v>133252.54999999999</v>
      </c>
      <c r="AT31" s="43">
        <v>1037850565.75</v>
      </c>
      <c r="AU31" s="43">
        <v>0</v>
      </c>
      <c r="AV31" s="43">
        <v>0</v>
      </c>
      <c r="AW31" s="43">
        <v>0</v>
      </c>
      <c r="AX31" s="43">
        <v>4714673784.0699997</v>
      </c>
      <c r="AY31" s="43">
        <v>4315815210.8800001</v>
      </c>
      <c r="AZ31" s="43">
        <v>0</v>
      </c>
      <c r="BA31" s="43">
        <v>56352100</v>
      </c>
      <c r="BB31" s="43">
        <v>342506473.19</v>
      </c>
      <c r="BC31" s="43">
        <v>452984148.75</v>
      </c>
      <c r="BD31" s="43">
        <v>0</v>
      </c>
      <c r="BE31" s="43">
        <v>424258925.02999997</v>
      </c>
      <c r="BF31" s="43">
        <v>0</v>
      </c>
      <c r="BG31" s="43">
        <v>6886796.8099999996</v>
      </c>
      <c r="BH31" s="43">
        <v>3956813.62</v>
      </c>
      <c r="BI31" s="43">
        <v>0</v>
      </c>
      <c r="BJ31" s="43">
        <v>17881613.289999999</v>
      </c>
      <c r="BK31" s="43">
        <v>0</v>
      </c>
      <c r="BL31" s="43">
        <v>1381367865.75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3795780.57</v>
      </c>
      <c r="CQ31" s="43">
        <v>0</v>
      </c>
      <c r="CR31" s="43">
        <v>3545780.57</v>
      </c>
      <c r="CS31" s="43">
        <v>0</v>
      </c>
      <c r="CT31" s="43">
        <v>250000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488748121.36000001</v>
      </c>
      <c r="DB31" s="43">
        <v>922704.9</v>
      </c>
      <c r="DC31" s="43">
        <v>0</v>
      </c>
      <c r="DD31" s="43">
        <v>196834283.43000001</v>
      </c>
      <c r="DE31" s="43">
        <v>0</v>
      </c>
      <c r="DF31" s="43">
        <v>213345644.25</v>
      </c>
      <c r="DG31" s="43">
        <v>33520200.620000001</v>
      </c>
      <c r="DH31" s="43">
        <v>7072177.25</v>
      </c>
      <c r="DI31" s="43">
        <v>297949038.38</v>
      </c>
      <c r="DJ31" s="43">
        <v>-260895927.47</v>
      </c>
      <c r="DK31" s="43">
        <v>0</v>
      </c>
      <c r="DL31" s="43">
        <v>193443020.38</v>
      </c>
      <c r="DM31" s="43">
        <v>0</v>
      </c>
      <c r="DN31" s="43">
        <v>0</v>
      </c>
      <c r="DO31" s="43">
        <v>0</v>
      </c>
      <c r="DP31" s="43">
        <v>0</v>
      </c>
      <c r="DQ31" s="43">
        <v>500954575.06</v>
      </c>
      <c r="DR31" s="43">
        <v>-307511554.68000001</v>
      </c>
      <c r="DS31" s="43">
        <v>0</v>
      </c>
      <c r="DT31" s="43">
        <v>29883778.850000001</v>
      </c>
      <c r="DU31" s="43">
        <v>0</v>
      </c>
      <c r="DV31" s="43">
        <v>0</v>
      </c>
      <c r="DW31" s="43">
        <v>29883778.850000001</v>
      </c>
      <c r="DX31" s="43">
        <v>665497164.59000003</v>
      </c>
      <c r="DY31" s="43">
        <v>0</v>
      </c>
      <c r="DZ31" s="43">
        <v>0</v>
      </c>
      <c r="EA31" s="43">
        <v>0</v>
      </c>
      <c r="EB31" s="43">
        <v>0</v>
      </c>
      <c r="EC31" s="43">
        <v>665497164.59000003</v>
      </c>
      <c r="ED31" s="43">
        <v>0</v>
      </c>
      <c r="EE31" s="43">
        <v>0</v>
      </c>
      <c r="EF31" s="43">
        <v>0</v>
      </c>
    </row>
    <row r="32" spans="1:136" ht="13.5" customHeight="1">
      <c r="A32" s="40" t="s">
        <v>18</v>
      </c>
      <c r="B32" s="41">
        <v>1036</v>
      </c>
      <c r="C32" s="42" t="s">
        <v>415</v>
      </c>
      <c r="D32" s="43">
        <v>28023661632.639999</v>
      </c>
      <c r="E32" s="43">
        <v>17058186141.34</v>
      </c>
      <c r="F32" s="43">
        <v>0</v>
      </c>
      <c r="G32" s="43">
        <v>0</v>
      </c>
      <c r="H32" s="43">
        <v>13825913665.370001</v>
      </c>
      <c r="I32" s="43">
        <v>0</v>
      </c>
      <c r="J32" s="43">
        <v>3232272475.9699998</v>
      </c>
      <c r="K32" s="43">
        <v>0</v>
      </c>
      <c r="L32" s="43">
        <v>3158142770.2000003</v>
      </c>
      <c r="M32" s="43">
        <v>0</v>
      </c>
      <c r="N32" s="43">
        <v>2965834799.8000002</v>
      </c>
      <c r="O32" s="43">
        <v>192307970.40000004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4451193493.7299995</v>
      </c>
      <c r="V32" s="43">
        <v>4475711230.6199999</v>
      </c>
      <c r="W32" s="43">
        <v>-24517736.890000001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621292511.69000006</v>
      </c>
      <c r="AE32" s="43">
        <v>-621292511.69000006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101198.25</v>
      </c>
      <c r="AQ32" s="43">
        <v>0</v>
      </c>
      <c r="AR32" s="43">
        <v>0</v>
      </c>
      <c r="AS32" s="43">
        <v>0</v>
      </c>
      <c r="AT32" s="43">
        <v>101198.25</v>
      </c>
      <c r="AU32" s="43">
        <v>0</v>
      </c>
      <c r="AV32" s="43">
        <v>0</v>
      </c>
      <c r="AW32" s="43">
        <v>0</v>
      </c>
      <c r="AX32" s="43">
        <v>3175868378.0899997</v>
      </c>
      <c r="AY32" s="43">
        <v>2654288968.2999997</v>
      </c>
      <c r="AZ32" s="43">
        <v>0</v>
      </c>
      <c r="BA32" s="43">
        <v>0</v>
      </c>
      <c r="BB32" s="43">
        <v>521579409.79000002</v>
      </c>
      <c r="BC32" s="43">
        <v>180169651.03</v>
      </c>
      <c r="BD32" s="43">
        <v>0</v>
      </c>
      <c r="BE32" s="43">
        <v>177708421.75</v>
      </c>
      <c r="BF32" s="43">
        <v>0</v>
      </c>
      <c r="BG32" s="43">
        <v>716194.37</v>
      </c>
      <c r="BH32" s="43">
        <v>1745034.91</v>
      </c>
      <c r="BI32" s="43">
        <v>0</v>
      </c>
      <c r="BJ32" s="43">
        <v>0</v>
      </c>
      <c r="BK32" s="43">
        <v>0</v>
      </c>
      <c r="BL32" s="43">
        <v>1409479919.8500001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0</v>
      </c>
      <c r="CA32" s="43">
        <v>0</v>
      </c>
      <c r="CB32" s="43">
        <v>0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228838.5</v>
      </c>
      <c r="CI32" s="43">
        <v>0</v>
      </c>
      <c r="CJ32" s="43">
        <v>0</v>
      </c>
      <c r="CK32" s="43">
        <v>228838.5</v>
      </c>
      <c r="CL32" s="43">
        <v>0</v>
      </c>
      <c r="CM32" s="43">
        <v>0</v>
      </c>
      <c r="CN32" s="43">
        <v>0</v>
      </c>
      <c r="CO32" s="43">
        <v>0</v>
      </c>
      <c r="CP32" s="43">
        <v>16651655.439999999</v>
      </c>
      <c r="CQ32" s="43">
        <v>16651655.439999999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1353294087.3500001</v>
      </c>
      <c r="DB32" s="43">
        <v>1181242500</v>
      </c>
      <c r="DC32" s="43">
        <v>0</v>
      </c>
      <c r="DD32" s="43">
        <v>0</v>
      </c>
      <c r="DE32" s="43">
        <v>0</v>
      </c>
      <c r="DF32" s="43">
        <v>62260547.710000001</v>
      </c>
      <c r="DG32" s="43">
        <v>136479339.12</v>
      </c>
      <c r="DH32" s="43">
        <v>21932706.23</v>
      </c>
      <c r="DI32" s="43">
        <v>44763387.150000006</v>
      </c>
      <c r="DJ32" s="43">
        <v>-93384392.859999985</v>
      </c>
      <c r="DK32" s="43">
        <v>0</v>
      </c>
      <c r="DL32" s="43">
        <v>36321658.559999995</v>
      </c>
      <c r="DM32" s="43">
        <v>78009115.519999996</v>
      </c>
      <c r="DN32" s="43">
        <v>0</v>
      </c>
      <c r="DO32" s="43">
        <v>0</v>
      </c>
      <c r="DP32" s="43">
        <v>0</v>
      </c>
      <c r="DQ32" s="43">
        <v>0</v>
      </c>
      <c r="DR32" s="43">
        <v>-41687456.960000001</v>
      </c>
      <c r="DS32" s="43">
        <v>0</v>
      </c>
      <c r="DT32" s="43">
        <v>2983680</v>
      </c>
      <c r="DU32" s="43">
        <v>0</v>
      </c>
      <c r="DV32" s="43">
        <v>0</v>
      </c>
      <c r="DW32" s="43">
        <v>2983680</v>
      </c>
      <c r="DX32" s="43">
        <v>0</v>
      </c>
      <c r="DY32" s="43">
        <v>0</v>
      </c>
      <c r="DZ32" s="43">
        <v>0</v>
      </c>
      <c r="EA32" s="43">
        <v>0</v>
      </c>
      <c r="EB32" s="43">
        <v>0</v>
      </c>
      <c r="EC32" s="43">
        <v>0</v>
      </c>
      <c r="ED32" s="43">
        <v>0</v>
      </c>
      <c r="EE32" s="43">
        <v>0</v>
      </c>
      <c r="EF32" s="43">
        <v>0</v>
      </c>
    </row>
    <row r="33" spans="1:136" ht="13.5" customHeight="1">
      <c r="A33" s="40" t="s">
        <v>15</v>
      </c>
      <c r="B33" s="41">
        <v>1037</v>
      </c>
      <c r="C33" s="42" t="s">
        <v>415</v>
      </c>
      <c r="D33" s="43">
        <v>7319675211.8800001</v>
      </c>
      <c r="E33" s="43">
        <v>3619310876.4299998</v>
      </c>
      <c r="F33" s="43">
        <v>0</v>
      </c>
      <c r="G33" s="43">
        <v>0</v>
      </c>
      <c r="H33" s="43">
        <v>3519359996.3599997</v>
      </c>
      <c r="I33" s="43">
        <v>0</v>
      </c>
      <c r="J33" s="43">
        <v>99950880.069999993</v>
      </c>
      <c r="K33" s="43">
        <v>0</v>
      </c>
      <c r="L33" s="43">
        <v>1867252656.75</v>
      </c>
      <c r="M33" s="43">
        <v>0</v>
      </c>
      <c r="N33" s="43">
        <v>994568360.15999997</v>
      </c>
      <c r="O33" s="43">
        <v>872684296.58999991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595922696.41000009</v>
      </c>
      <c r="V33" s="43">
        <v>596207308.50000012</v>
      </c>
      <c r="W33" s="43">
        <v>-666833.64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298821423.06999999</v>
      </c>
      <c r="AE33" s="43">
        <v>-298439201.51999998</v>
      </c>
      <c r="AF33" s="43">
        <v>47216802.759999998</v>
      </c>
      <c r="AG33" s="43">
        <v>47216802.759999998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134170365.02000001</v>
      </c>
      <c r="AQ33" s="43">
        <v>0</v>
      </c>
      <c r="AR33" s="43">
        <v>0</v>
      </c>
      <c r="AS33" s="43">
        <v>0</v>
      </c>
      <c r="AT33" s="43">
        <v>144676724.15000001</v>
      </c>
      <c r="AU33" s="43">
        <v>-10506359.130000001</v>
      </c>
      <c r="AV33" s="43">
        <v>0</v>
      </c>
      <c r="AW33" s="43">
        <v>0</v>
      </c>
      <c r="AX33" s="43">
        <v>849686011.30999994</v>
      </c>
      <c r="AY33" s="43">
        <v>484796392.86000001</v>
      </c>
      <c r="AZ33" s="43">
        <v>0</v>
      </c>
      <c r="BA33" s="43">
        <v>0</v>
      </c>
      <c r="BB33" s="43">
        <v>364889618.44999999</v>
      </c>
      <c r="BC33" s="43">
        <v>206115803.20000002</v>
      </c>
      <c r="BD33" s="43">
        <v>0</v>
      </c>
      <c r="BE33" s="43">
        <v>196937932.25</v>
      </c>
      <c r="BF33" s="43">
        <v>0</v>
      </c>
      <c r="BG33" s="43">
        <v>6017762.5700000003</v>
      </c>
      <c r="BH33" s="43">
        <v>630022.05000000005</v>
      </c>
      <c r="BI33" s="43">
        <v>0</v>
      </c>
      <c r="BJ33" s="43">
        <v>2530086.33</v>
      </c>
      <c r="BK33" s="43">
        <v>0</v>
      </c>
      <c r="BL33" s="43">
        <v>419511046.92000002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122327.87</v>
      </c>
      <c r="CI33" s="43">
        <v>0</v>
      </c>
      <c r="CJ33" s="43">
        <v>0</v>
      </c>
      <c r="CK33" s="43">
        <v>122327.87</v>
      </c>
      <c r="CL33" s="43">
        <v>0</v>
      </c>
      <c r="CM33" s="43">
        <v>0</v>
      </c>
      <c r="CN33" s="43">
        <v>0</v>
      </c>
      <c r="CO33" s="43">
        <v>0</v>
      </c>
      <c r="CP33" s="43">
        <v>379415178.44</v>
      </c>
      <c r="CQ33" s="43">
        <v>17094836.09</v>
      </c>
      <c r="CR33" s="43">
        <v>0</v>
      </c>
      <c r="CS33" s="43">
        <v>0</v>
      </c>
      <c r="CT33" s="43">
        <v>362320342.35000002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14043136</v>
      </c>
      <c r="DB33" s="43">
        <v>2900000</v>
      </c>
      <c r="DC33" s="43">
        <v>0</v>
      </c>
      <c r="DD33" s="43">
        <v>0</v>
      </c>
      <c r="DE33" s="43">
        <v>0</v>
      </c>
      <c r="DF33" s="43">
        <v>11043429.59</v>
      </c>
      <c r="DG33" s="43">
        <v>0</v>
      </c>
      <c r="DH33" s="43">
        <v>2786345.43</v>
      </c>
      <c r="DI33" s="43">
        <v>34789673.340000004</v>
      </c>
      <c r="DJ33" s="43">
        <v>-37476312.359999999</v>
      </c>
      <c r="DK33" s="43">
        <v>0</v>
      </c>
      <c r="DL33" s="43">
        <v>20031824.609999999</v>
      </c>
      <c r="DM33" s="43">
        <v>42274569.539999999</v>
      </c>
      <c r="DN33" s="43">
        <v>0</v>
      </c>
      <c r="DO33" s="43">
        <v>0</v>
      </c>
      <c r="DP33" s="43">
        <v>0</v>
      </c>
      <c r="DQ33" s="43">
        <v>0</v>
      </c>
      <c r="DR33" s="43">
        <v>-22242744.93</v>
      </c>
      <c r="DS33" s="43">
        <v>0</v>
      </c>
      <c r="DT33" s="43">
        <v>0</v>
      </c>
      <c r="DU33" s="43">
        <v>0</v>
      </c>
      <c r="DV33" s="43">
        <v>0</v>
      </c>
      <c r="DW33" s="43">
        <v>0</v>
      </c>
      <c r="DX33" s="43">
        <v>5898580</v>
      </c>
      <c r="DY33" s="43">
        <v>0</v>
      </c>
      <c r="DZ33" s="43">
        <v>0</v>
      </c>
      <c r="EA33" s="43">
        <v>0</v>
      </c>
      <c r="EB33" s="43">
        <v>0</v>
      </c>
      <c r="EC33" s="43">
        <v>5898580</v>
      </c>
      <c r="ED33" s="43">
        <v>0</v>
      </c>
      <c r="EE33" s="43">
        <v>0</v>
      </c>
      <c r="EF33" s="43">
        <v>0</v>
      </c>
    </row>
    <row r="34" spans="1:136" ht="13.5" customHeight="1">
      <c r="A34" s="40" t="s">
        <v>17</v>
      </c>
      <c r="B34" s="41">
        <v>1038</v>
      </c>
      <c r="C34" s="42" t="s">
        <v>415</v>
      </c>
      <c r="D34" s="43">
        <v>12147572026.440002</v>
      </c>
      <c r="E34" s="43">
        <v>1813583379.4900038</v>
      </c>
      <c r="F34" s="43">
        <v>7080.0299999999988</v>
      </c>
      <c r="G34" s="43">
        <v>0</v>
      </c>
      <c r="H34" s="43">
        <v>1514679813.4200039</v>
      </c>
      <c r="I34" s="43">
        <v>0</v>
      </c>
      <c r="J34" s="43">
        <v>298896486.03999996</v>
      </c>
      <c r="K34" s="43">
        <v>0</v>
      </c>
      <c r="L34" s="43">
        <v>4605236813.2999983</v>
      </c>
      <c r="M34" s="43">
        <v>2896595036.6900001</v>
      </c>
      <c r="N34" s="43">
        <v>0</v>
      </c>
      <c r="O34" s="43">
        <v>1708641776.6099982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1461285461.7499988</v>
      </c>
      <c r="V34" s="43">
        <v>1187156124.079999</v>
      </c>
      <c r="W34" s="43">
        <v>-20814915.860000014</v>
      </c>
      <c r="X34" s="43">
        <v>294944253.52999991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107177839.05999994</v>
      </c>
      <c r="AE34" s="43">
        <v>-107177839.05999994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12348565.859999999</v>
      </c>
      <c r="AQ34" s="43">
        <v>0</v>
      </c>
      <c r="AR34" s="43">
        <v>0</v>
      </c>
      <c r="AS34" s="43">
        <v>1020921.2500000002</v>
      </c>
      <c r="AT34" s="43">
        <v>11327644.609999999</v>
      </c>
      <c r="AU34" s="43">
        <v>0</v>
      </c>
      <c r="AV34" s="43">
        <v>0</v>
      </c>
      <c r="AW34" s="43">
        <v>0</v>
      </c>
      <c r="AX34" s="43">
        <v>4243977380.7900019</v>
      </c>
      <c r="AY34" s="43">
        <v>3800615582.9100018</v>
      </c>
      <c r="AZ34" s="43">
        <v>0</v>
      </c>
      <c r="BA34" s="43">
        <v>0</v>
      </c>
      <c r="BB34" s="43">
        <v>443361797.88</v>
      </c>
      <c r="BC34" s="43">
        <v>11140425.249999987</v>
      </c>
      <c r="BD34" s="43">
        <v>0</v>
      </c>
      <c r="BE34" s="43">
        <v>0.43999999761581421</v>
      </c>
      <c r="BF34" s="43">
        <v>0</v>
      </c>
      <c r="BG34" s="43">
        <v>454333.43999999948</v>
      </c>
      <c r="BH34" s="43">
        <v>10686091.36999999</v>
      </c>
      <c r="BI34" s="43">
        <v>0</v>
      </c>
      <c r="BJ34" s="43">
        <v>0</v>
      </c>
      <c r="BK34" s="43">
        <v>0</v>
      </c>
      <c r="BL34" s="43">
        <v>164661905.5200001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3401.59</v>
      </c>
      <c r="CQ34" s="43">
        <v>0</v>
      </c>
      <c r="CR34" s="43">
        <v>3401.59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82678222.690000013</v>
      </c>
      <c r="DB34" s="43">
        <v>0</v>
      </c>
      <c r="DC34" s="43">
        <v>0</v>
      </c>
      <c r="DD34" s="43">
        <v>0</v>
      </c>
      <c r="DE34" s="43">
        <v>0</v>
      </c>
      <c r="DF34" s="43">
        <v>28088097.079999998</v>
      </c>
      <c r="DG34" s="43">
        <v>70364081.579999998</v>
      </c>
      <c r="DH34" s="43">
        <v>6918930.5399999991</v>
      </c>
      <c r="DI34" s="43">
        <v>78444371.040000007</v>
      </c>
      <c r="DJ34" s="43">
        <v>-101137257.55</v>
      </c>
      <c r="DK34" s="43">
        <v>0</v>
      </c>
      <c r="DL34" s="43">
        <v>32765827.829999998</v>
      </c>
      <c r="DM34" s="43">
        <v>112479019.41</v>
      </c>
      <c r="DN34" s="43">
        <v>0</v>
      </c>
      <c r="DO34" s="43">
        <v>0</v>
      </c>
      <c r="DP34" s="43">
        <v>0</v>
      </c>
      <c r="DQ34" s="43">
        <v>0</v>
      </c>
      <c r="DR34" s="43">
        <v>-79713191.579999998</v>
      </c>
      <c r="DS34" s="43">
        <v>0</v>
      </c>
      <c r="DT34" s="43">
        <v>49214453.410000086</v>
      </c>
      <c r="DU34" s="43">
        <v>49214453.410000086</v>
      </c>
      <c r="DV34" s="43">
        <v>0</v>
      </c>
      <c r="DW34" s="43">
        <v>0</v>
      </c>
      <c r="DX34" s="43">
        <v>0</v>
      </c>
      <c r="DY34" s="43">
        <v>0</v>
      </c>
      <c r="DZ34" s="43">
        <v>0</v>
      </c>
      <c r="EA34" s="43">
        <v>0</v>
      </c>
      <c r="EB34" s="43">
        <v>0</v>
      </c>
      <c r="EC34" s="43">
        <v>0</v>
      </c>
      <c r="ED34" s="43">
        <v>0</v>
      </c>
      <c r="EE34" s="43">
        <v>0</v>
      </c>
      <c r="EF34" s="43">
        <v>0</v>
      </c>
    </row>
    <row r="35" spans="1:136" ht="13.5" customHeight="1">
      <c r="A35" s="40" t="s">
        <v>94</v>
      </c>
      <c r="B35" s="41">
        <v>1039</v>
      </c>
      <c r="C35" s="42" t="s">
        <v>415</v>
      </c>
      <c r="D35" s="43">
        <v>4064607306.4299989</v>
      </c>
      <c r="E35" s="43">
        <v>2643321836.3799992</v>
      </c>
      <c r="F35" s="43">
        <v>48443.45</v>
      </c>
      <c r="G35" s="43">
        <v>0</v>
      </c>
      <c r="H35" s="43">
        <v>2266930635.3999996</v>
      </c>
      <c r="I35" s="43">
        <v>0</v>
      </c>
      <c r="J35" s="43">
        <v>376342757.52999997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768480577.80999994</v>
      </c>
      <c r="V35" s="43">
        <v>773300842.8599999</v>
      </c>
      <c r="W35" s="43">
        <v>-4820265.05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180349690.94</v>
      </c>
      <c r="AE35" s="43">
        <v>-180349690.94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1911890.66</v>
      </c>
      <c r="AQ35" s="43">
        <v>0</v>
      </c>
      <c r="AR35" s="43">
        <v>0</v>
      </c>
      <c r="AS35" s="43">
        <v>1406909.22</v>
      </c>
      <c r="AT35" s="43">
        <v>504981.44</v>
      </c>
      <c r="AU35" s="43">
        <v>0</v>
      </c>
      <c r="AV35" s="43">
        <v>0</v>
      </c>
      <c r="AW35" s="43">
        <v>0</v>
      </c>
      <c r="AX35" s="43">
        <v>477174551.52000004</v>
      </c>
      <c r="AY35" s="43">
        <v>338361078.20000005</v>
      </c>
      <c r="AZ35" s="43">
        <v>0</v>
      </c>
      <c r="BA35" s="43">
        <v>0</v>
      </c>
      <c r="BB35" s="43">
        <v>138813473.31999999</v>
      </c>
      <c r="BC35" s="43">
        <v>173718450.05999997</v>
      </c>
      <c r="BD35" s="43">
        <v>0</v>
      </c>
      <c r="BE35" s="43">
        <v>131892345.34999999</v>
      </c>
      <c r="BF35" s="43">
        <v>0</v>
      </c>
      <c r="BG35" s="43">
        <v>988090.91</v>
      </c>
      <c r="BH35" s="43">
        <v>4162373.85</v>
      </c>
      <c r="BI35" s="43">
        <v>27310.97</v>
      </c>
      <c r="BJ35" s="43">
        <v>36648328.979999997</v>
      </c>
      <c r="BK35" s="43">
        <v>0</v>
      </c>
      <c r="BL35" s="43">
        <v>302003007.53999996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58294819.569999993</v>
      </c>
      <c r="DB35" s="43">
        <v>0</v>
      </c>
      <c r="DC35" s="43">
        <v>0</v>
      </c>
      <c r="DD35" s="43">
        <v>0</v>
      </c>
      <c r="DE35" s="43">
        <v>0</v>
      </c>
      <c r="DF35" s="43">
        <v>19470928.800000001</v>
      </c>
      <c r="DG35" s="43">
        <v>60235793.719999999</v>
      </c>
      <c r="DH35" s="43">
        <v>733380.25</v>
      </c>
      <c r="DI35" s="43">
        <v>29340277.800000001</v>
      </c>
      <c r="DJ35" s="43">
        <v>-51485561</v>
      </c>
      <c r="DK35" s="43">
        <v>0</v>
      </c>
      <c r="DL35" s="43">
        <v>682861.68000000063</v>
      </c>
      <c r="DM35" s="43">
        <v>5128009.4400000004</v>
      </c>
      <c r="DN35" s="43">
        <v>0</v>
      </c>
      <c r="DO35" s="43">
        <v>0</v>
      </c>
      <c r="DP35" s="43">
        <v>0</v>
      </c>
      <c r="DQ35" s="43">
        <v>0</v>
      </c>
      <c r="DR35" s="43">
        <v>-4445147.76</v>
      </c>
      <c r="DS35" s="43">
        <v>0</v>
      </c>
      <c r="DT35" s="43">
        <v>0</v>
      </c>
      <c r="DU35" s="43">
        <v>0</v>
      </c>
      <c r="DV35" s="43">
        <v>0</v>
      </c>
      <c r="DW35" s="43">
        <v>0</v>
      </c>
      <c r="DX35" s="43">
        <v>243025326.28999999</v>
      </c>
      <c r="DY35" s="43">
        <v>0</v>
      </c>
      <c r="DZ35" s="43">
        <v>0</v>
      </c>
      <c r="EA35" s="43">
        <v>0</v>
      </c>
      <c r="EB35" s="43">
        <v>0</v>
      </c>
      <c r="EC35" s="43">
        <v>243025326.28999999</v>
      </c>
      <c r="ED35" s="43">
        <v>0</v>
      </c>
      <c r="EE35" s="43">
        <v>0</v>
      </c>
      <c r="EF35" s="43">
        <v>0</v>
      </c>
    </row>
    <row r="36" spans="1:136" ht="13.5" customHeight="1">
      <c r="A36" s="40" t="s">
        <v>97</v>
      </c>
      <c r="B36" s="41">
        <v>1040</v>
      </c>
      <c r="C36" s="42" t="s">
        <v>415</v>
      </c>
      <c r="D36" s="43">
        <v>3996716910</v>
      </c>
      <c r="E36" s="43">
        <v>1904518678</v>
      </c>
      <c r="F36" s="43">
        <v>0</v>
      </c>
      <c r="G36" s="43">
        <v>35070114</v>
      </c>
      <c r="H36" s="43">
        <v>1803741118</v>
      </c>
      <c r="I36" s="43">
        <v>0</v>
      </c>
      <c r="J36" s="43">
        <v>65707446</v>
      </c>
      <c r="K36" s="43">
        <v>0</v>
      </c>
      <c r="L36" s="43">
        <v>99231328</v>
      </c>
      <c r="M36" s="43">
        <v>0</v>
      </c>
      <c r="N36" s="43">
        <v>99231328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1581539515</v>
      </c>
      <c r="V36" s="43">
        <v>1581539515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98284875</v>
      </c>
      <c r="AE36" s="43">
        <v>-98284875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288861</v>
      </c>
      <c r="AQ36" s="43">
        <v>0</v>
      </c>
      <c r="AR36" s="43">
        <v>0</v>
      </c>
      <c r="AS36" s="43">
        <v>288861</v>
      </c>
      <c r="AT36" s="43">
        <v>0</v>
      </c>
      <c r="AU36" s="43">
        <v>0</v>
      </c>
      <c r="AV36" s="43">
        <v>0</v>
      </c>
      <c r="AW36" s="43">
        <v>0</v>
      </c>
      <c r="AX36" s="43">
        <v>390748085</v>
      </c>
      <c r="AY36" s="43">
        <v>375328744</v>
      </c>
      <c r="AZ36" s="43">
        <v>0</v>
      </c>
      <c r="BA36" s="43">
        <v>302243</v>
      </c>
      <c r="BB36" s="43">
        <v>15117098</v>
      </c>
      <c r="BC36" s="43">
        <v>20390443</v>
      </c>
      <c r="BD36" s="43">
        <v>0</v>
      </c>
      <c r="BE36" s="43">
        <v>19230755</v>
      </c>
      <c r="BF36" s="43">
        <v>0</v>
      </c>
      <c r="BG36" s="43">
        <v>7475</v>
      </c>
      <c r="BH36" s="43">
        <v>1152213</v>
      </c>
      <c r="BI36" s="43">
        <v>0</v>
      </c>
      <c r="BJ36" s="43">
        <v>0</v>
      </c>
      <c r="BK36" s="43">
        <v>0</v>
      </c>
      <c r="BL36" s="43">
        <v>126581203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730390</v>
      </c>
      <c r="CI36" s="43">
        <v>0</v>
      </c>
      <c r="CJ36" s="43">
        <v>0</v>
      </c>
      <c r="CK36" s="43">
        <v>730390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113743098</v>
      </c>
      <c r="DB36" s="43">
        <v>0</v>
      </c>
      <c r="DC36" s="43">
        <v>0</v>
      </c>
      <c r="DD36" s="43">
        <v>0</v>
      </c>
      <c r="DE36" s="43">
        <v>0</v>
      </c>
      <c r="DF36" s="43">
        <v>14716344</v>
      </c>
      <c r="DG36" s="43">
        <v>20474122</v>
      </c>
      <c r="DH36" s="43">
        <v>54890321</v>
      </c>
      <c r="DI36" s="43">
        <v>72015158</v>
      </c>
      <c r="DJ36" s="43">
        <v>-48352847</v>
      </c>
      <c r="DK36" s="43">
        <v>0</v>
      </c>
      <c r="DL36" s="43">
        <v>11767979</v>
      </c>
      <c r="DM36" s="43">
        <v>12421002</v>
      </c>
      <c r="DN36" s="43">
        <v>0</v>
      </c>
      <c r="DO36" s="43">
        <v>0</v>
      </c>
      <c r="DP36" s="43">
        <v>0</v>
      </c>
      <c r="DQ36" s="43">
        <v>0</v>
      </c>
      <c r="DR36" s="43">
        <v>-4946071</v>
      </c>
      <c r="DS36" s="43">
        <v>4293048</v>
      </c>
      <c r="DT36" s="43">
        <v>0</v>
      </c>
      <c r="DU36" s="43">
        <v>0</v>
      </c>
      <c r="DV36" s="43">
        <v>0</v>
      </c>
      <c r="DW36" s="43">
        <v>0</v>
      </c>
      <c r="DX36" s="43">
        <v>339736</v>
      </c>
      <c r="DY36" s="43">
        <v>0</v>
      </c>
      <c r="DZ36" s="43">
        <v>0</v>
      </c>
      <c r="EA36" s="43">
        <v>0</v>
      </c>
      <c r="EB36" s="43">
        <v>0</v>
      </c>
      <c r="EC36" s="43">
        <v>339736</v>
      </c>
      <c r="ED36" s="43">
        <v>0</v>
      </c>
      <c r="EE36" s="43">
        <v>0</v>
      </c>
      <c r="EF36" s="43">
        <v>0</v>
      </c>
    </row>
    <row r="37" spans="1:136" ht="13.5" customHeight="1">
      <c r="A37" s="40" t="s">
        <v>100</v>
      </c>
      <c r="B37" s="41">
        <v>1043</v>
      </c>
      <c r="C37" s="42" t="s">
        <v>415</v>
      </c>
      <c r="D37" s="43">
        <v>21790161306.869999</v>
      </c>
      <c r="E37" s="43">
        <v>7682979525.8299999</v>
      </c>
      <c r="F37" s="43">
        <v>0</v>
      </c>
      <c r="G37" s="43">
        <v>0</v>
      </c>
      <c r="H37" s="43">
        <v>2904721426.7399998</v>
      </c>
      <c r="I37" s="43">
        <v>0</v>
      </c>
      <c r="J37" s="43">
        <v>1763910382.96</v>
      </c>
      <c r="K37" s="43">
        <v>3014347716.1300001</v>
      </c>
      <c r="L37" s="43">
        <v>7410387715.6200018</v>
      </c>
      <c r="M37" s="43">
        <v>7413715533.6400013</v>
      </c>
      <c r="N37" s="43">
        <v>0</v>
      </c>
      <c r="O37" s="43">
        <v>0.01</v>
      </c>
      <c r="P37" s="43">
        <v>0</v>
      </c>
      <c r="Q37" s="43">
        <v>0</v>
      </c>
      <c r="R37" s="43">
        <v>0</v>
      </c>
      <c r="S37" s="43">
        <v>0</v>
      </c>
      <c r="T37" s="43">
        <v>-3327818.03</v>
      </c>
      <c r="U37" s="43">
        <v>4379294345.4499998</v>
      </c>
      <c r="V37" s="43">
        <v>4209233740.6300001</v>
      </c>
      <c r="W37" s="43">
        <v>-103124205.44</v>
      </c>
      <c r="X37" s="43">
        <v>273184810.25999999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1294743.6000000001</v>
      </c>
      <c r="AE37" s="43">
        <v>-1294743.6000000001</v>
      </c>
      <c r="AF37" s="43">
        <v>41641514.940000013</v>
      </c>
      <c r="AG37" s="43">
        <v>0</v>
      </c>
      <c r="AH37" s="43">
        <v>0</v>
      </c>
      <c r="AI37" s="43">
        <v>41643764.940000013</v>
      </c>
      <c r="AJ37" s="43">
        <v>0</v>
      </c>
      <c r="AK37" s="43">
        <v>-2250</v>
      </c>
      <c r="AL37" s="43">
        <v>0</v>
      </c>
      <c r="AM37" s="43">
        <v>0</v>
      </c>
      <c r="AN37" s="43">
        <v>0</v>
      </c>
      <c r="AO37" s="43">
        <v>0</v>
      </c>
      <c r="AP37" s="43">
        <v>41165763.119999997</v>
      </c>
      <c r="AQ37" s="43">
        <v>0</v>
      </c>
      <c r="AR37" s="43">
        <v>0</v>
      </c>
      <c r="AS37" s="43">
        <v>81926.14</v>
      </c>
      <c r="AT37" s="43">
        <v>41083836.979999997</v>
      </c>
      <c r="AU37" s="43">
        <v>0</v>
      </c>
      <c r="AV37" s="43">
        <v>0</v>
      </c>
      <c r="AW37" s="43">
        <v>0</v>
      </c>
      <c r="AX37" s="43">
        <v>2228608014.96</v>
      </c>
      <c r="AY37" s="43">
        <v>1970773065.49</v>
      </c>
      <c r="AZ37" s="43">
        <v>0</v>
      </c>
      <c r="BA37" s="43">
        <v>0</v>
      </c>
      <c r="BB37" s="43">
        <v>257834949.47</v>
      </c>
      <c r="BC37" s="43">
        <v>6084426.9499999918</v>
      </c>
      <c r="BD37" s="43">
        <v>0</v>
      </c>
      <c r="BE37" s="43">
        <v>0</v>
      </c>
      <c r="BF37" s="43">
        <v>0</v>
      </c>
      <c r="BG37" s="43">
        <v>3345378.3799999952</v>
      </c>
      <c r="BH37" s="43">
        <v>2739048.549999997</v>
      </c>
      <c r="BI37" s="43">
        <v>0</v>
      </c>
      <c r="BJ37" s="43">
        <v>0.02</v>
      </c>
      <c r="BK37" s="43">
        <v>0</v>
      </c>
      <c r="BL37" s="43">
        <v>5327049901.0500002</v>
      </c>
      <c r="BM37" s="43">
        <v>105060.27000004053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409845253.99000001</v>
      </c>
      <c r="BW37" s="43">
        <v>-409740193.71999997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48748897.109999999</v>
      </c>
      <c r="CI37" s="43">
        <v>0</v>
      </c>
      <c r="CJ37" s="43">
        <v>0</v>
      </c>
      <c r="CK37" s="43">
        <v>48748897.109999999</v>
      </c>
      <c r="CL37" s="43">
        <v>0</v>
      </c>
      <c r="CM37" s="43">
        <v>0</v>
      </c>
      <c r="CN37" s="43">
        <v>0</v>
      </c>
      <c r="CO37" s="43">
        <v>0</v>
      </c>
      <c r="CP37" s="43">
        <v>3126348503.8800001</v>
      </c>
      <c r="CQ37" s="43">
        <v>17094836.079999998</v>
      </c>
      <c r="CR37" s="43">
        <v>0</v>
      </c>
      <c r="CS37" s="43">
        <v>0</v>
      </c>
      <c r="CT37" s="43">
        <v>3109253667.8000002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249660664.31</v>
      </c>
      <c r="DB37" s="43">
        <v>26690000</v>
      </c>
      <c r="DC37" s="43">
        <v>0</v>
      </c>
      <c r="DD37" s="43">
        <v>0</v>
      </c>
      <c r="DE37" s="43">
        <v>39610768.770000003</v>
      </c>
      <c r="DF37" s="43">
        <v>44261796.690000005</v>
      </c>
      <c r="DG37" s="43">
        <v>59696020.159999996</v>
      </c>
      <c r="DH37" s="43">
        <v>26028653.200000003</v>
      </c>
      <c r="DI37" s="43">
        <v>270029015.87</v>
      </c>
      <c r="DJ37" s="43">
        <v>-216655590.38</v>
      </c>
      <c r="DK37" s="43">
        <v>0</v>
      </c>
      <c r="DL37" s="43">
        <v>592559858.06999993</v>
      </c>
      <c r="DM37" s="43">
        <v>175728081.89000002</v>
      </c>
      <c r="DN37" s="43">
        <v>0</v>
      </c>
      <c r="DO37" s="43">
        <v>0</v>
      </c>
      <c r="DP37" s="43">
        <v>0</v>
      </c>
      <c r="DQ37" s="43">
        <v>766191026.76999998</v>
      </c>
      <c r="DR37" s="43">
        <v>-387690739.59000003</v>
      </c>
      <c r="DS37" s="43">
        <v>38331489</v>
      </c>
      <c r="DT37" s="43">
        <v>6565709.5199999996</v>
      </c>
      <c r="DU37" s="43">
        <v>6565709.5199999996</v>
      </c>
      <c r="DV37" s="43">
        <v>0</v>
      </c>
      <c r="DW37" s="43">
        <v>0</v>
      </c>
      <c r="DX37" s="43">
        <v>1303061207.8900001</v>
      </c>
      <c r="DY37" s="43">
        <v>0</v>
      </c>
      <c r="DZ37" s="43">
        <v>0</v>
      </c>
      <c r="EA37" s="43">
        <v>0</v>
      </c>
      <c r="EB37" s="43">
        <v>0</v>
      </c>
      <c r="EC37" s="43">
        <v>1303061207.8900001</v>
      </c>
      <c r="ED37" s="43">
        <v>0</v>
      </c>
      <c r="EE37" s="43">
        <v>0</v>
      </c>
      <c r="EF37" s="43">
        <v>0</v>
      </c>
    </row>
    <row r="38" spans="1:136" ht="13.5" customHeight="1">
      <c r="A38" s="40" t="s">
        <v>103</v>
      </c>
      <c r="B38" s="41">
        <v>1044</v>
      </c>
      <c r="C38" s="42" t="s">
        <v>415</v>
      </c>
      <c r="D38" s="43">
        <v>23421131695.549999</v>
      </c>
      <c r="E38" s="43">
        <v>17010794655.789997</v>
      </c>
      <c r="F38" s="43">
        <v>4684013.3</v>
      </c>
      <c r="G38" s="43">
        <v>0</v>
      </c>
      <c r="H38" s="43">
        <v>13269302609.529999</v>
      </c>
      <c r="I38" s="43">
        <v>0</v>
      </c>
      <c r="J38" s="43">
        <v>3736808032.96</v>
      </c>
      <c r="K38" s="43">
        <v>0</v>
      </c>
      <c r="L38" s="43">
        <v>3165974641.3400002</v>
      </c>
      <c r="M38" s="43">
        <v>2135119301</v>
      </c>
      <c r="N38" s="43">
        <v>630172122.00999999</v>
      </c>
      <c r="O38" s="43">
        <v>400683218.32999992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1821655874.9999995</v>
      </c>
      <c r="V38" s="43">
        <v>2243115738.9899998</v>
      </c>
      <c r="W38" s="43">
        <v>-421459863.99000001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402240270.89999998</v>
      </c>
      <c r="AE38" s="43">
        <v>-402240270.89999998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81299385.719999999</v>
      </c>
      <c r="AQ38" s="43">
        <v>0</v>
      </c>
      <c r="AR38" s="43">
        <v>0</v>
      </c>
      <c r="AS38" s="43">
        <v>156840.21</v>
      </c>
      <c r="AT38" s="43">
        <v>81142545.510000005</v>
      </c>
      <c r="AU38" s="43">
        <v>0</v>
      </c>
      <c r="AV38" s="43">
        <v>72614.210000000006</v>
      </c>
      <c r="AW38" s="43">
        <v>-72614.210000000006</v>
      </c>
      <c r="AX38" s="43">
        <v>1132772691.6799998</v>
      </c>
      <c r="AY38" s="43">
        <v>1095387862.8699999</v>
      </c>
      <c r="AZ38" s="43">
        <v>0</v>
      </c>
      <c r="BA38" s="43">
        <v>0</v>
      </c>
      <c r="BB38" s="43">
        <v>37384828.810000002</v>
      </c>
      <c r="BC38" s="43">
        <v>208634446.02000001</v>
      </c>
      <c r="BD38" s="43">
        <v>0</v>
      </c>
      <c r="BE38" s="43">
        <v>207996657.90000001</v>
      </c>
      <c r="BF38" s="43">
        <v>0</v>
      </c>
      <c r="BG38" s="43">
        <v>0</v>
      </c>
      <c r="BH38" s="43">
        <v>637788.12</v>
      </c>
      <c r="BI38" s="43">
        <v>0</v>
      </c>
      <c r="BJ38" s="43">
        <v>0</v>
      </c>
      <c r="BK38" s="43">
        <v>0</v>
      </c>
      <c r="BL38" s="43">
        <v>344784449.88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57991579.340000004</v>
      </c>
      <c r="DB38" s="43">
        <v>0</v>
      </c>
      <c r="DC38" s="43">
        <v>0</v>
      </c>
      <c r="DD38" s="43">
        <v>0</v>
      </c>
      <c r="DE38" s="43">
        <v>13031456.310000001</v>
      </c>
      <c r="DF38" s="43">
        <v>34754331.270000003</v>
      </c>
      <c r="DG38" s="43">
        <v>27837061.800000001</v>
      </c>
      <c r="DH38" s="43">
        <v>5107804.3099999996</v>
      </c>
      <c r="DI38" s="43">
        <v>31265605.649999999</v>
      </c>
      <c r="DJ38" s="43">
        <v>-54004680</v>
      </c>
      <c r="DK38" s="43">
        <v>0</v>
      </c>
      <c r="DL38" s="43">
        <v>108133533.84</v>
      </c>
      <c r="DM38" s="43">
        <v>5695728.5300000003</v>
      </c>
      <c r="DN38" s="43">
        <v>0</v>
      </c>
      <c r="DO38" s="43">
        <v>0</v>
      </c>
      <c r="DP38" s="43">
        <v>0</v>
      </c>
      <c r="DQ38" s="43">
        <v>213988616.71000001</v>
      </c>
      <c r="DR38" s="43">
        <v>-111550811.40000001</v>
      </c>
      <c r="DS38" s="43">
        <v>0</v>
      </c>
      <c r="DT38" s="43">
        <v>0</v>
      </c>
      <c r="DU38" s="43">
        <v>0</v>
      </c>
      <c r="DV38" s="43">
        <v>0</v>
      </c>
      <c r="DW38" s="43">
        <v>0</v>
      </c>
      <c r="DX38" s="43">
        <v>178659336.69999999</v>
      </c>
      <c r="DY38" s="43">
        <v>0</v>
      </c>
      <c r="DZ38" s="43">
        <v>0</v>
      </c>
      <c r="EA38" s="43">
        <v>0</v>
      </c>
      <c r="EB38" s="43">
        <v>0</v>
      </c>
      <c r="EC38" s="43">
        <v>178659336.69999999</v>
      </c>
      <c r="ED38" s="43">
        <v>0</v>
      </c>
      <c r="EE38" s="43">
        <v>0</v>
      </c>
      <c r="EF38" s="43">
        <v>0</v>
      </c>
    </row>
    <row r="39" spans="1:136" ht="13.5" customHeight="1">
      <c r="A39" s="40" t="s">
        <v>106</v>
      </c>
      <c r="B39" s="41">
        <v>1045</v>
      </c>
      <c r="C39" s="42" t="s">
        <v>415</v>
      </c>
      <c r="D39" s="43">
        <v>74927572184.320023</v>
      </c>
      <c r="E39" s="43">
        <v>43051057354.840004</v>
      </c>
      <c r="F39" s="43">
        <v>0</v>
      </c>
      <c r="G39" s="43">
        <v>0</v>
      </c>
      <c r="H39" s="43">
        <v>39831012147.440002</v>
      </c>
      <c r="I39" s="43">
        <v>0</v>
      </c>
      <c r="J39" s="43">
        <v>3220045207.4000001</v>
      </c>
      <c r="K39" s="43">
        <v>0</v>
      </c>
      <c r="L39" s="43">
        <v>26463799601.360001</v>
      </c>
      <c r="M39" s="43">
        <v>0</v>
      </c>
      <c r="N39" s="43">
        <v>125496745.39</v>
      </c>
      <c r="O39" s="43">
        <v>26338302855.970001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2001349374.2400002</v>
      </c>
      <c r="V39" s="43">
        <v>2404499583.8400002</v>
      </c>
      <c r="W39" s="43">
        <v>-403150209.60000002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1133157174.5599999</v>
      </c>
      <c r="AE39" s="43">
        <v>-1133157174.5599999</v>
      </c>
      <c r="AF39" s="43">
        <v>126248.14</v>
      </c>
      <c r="AG39" s="43">
        <v>0</v>
      </c>
      <c r="AH39" s="43">
        <v>0</v>
      </c>
      <c r="AI39" s="43">
        <v>126248.14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134400381.75</v>
      </c>
      <c r="AQ39" s="43">
        <v>0</v>
      </c>
      <c r="AR39" s="43">
        <v>0</v>
      </c>
      <c r="AS39" s="43">
        <v>96736433.340000004</v>
      </c>
      <c r="AT39" s="43">
        <v>37663948.409999996</v>
      </c>
      <c r="AU39" s="43">
        <v>0</v>
      </c>
      <c r="AV39" s="43">
        <v>0</v>
      </c>
      <c r="AW39" s="43">
        <v>0</v>
      </c>
      <c r="AX39" s="43">
        <v>2107308864.78</v>
      </c>
      <c r="AY39" s="43">
        <v>2007089804.1800001</v>
      </c>
      <c r="AZ39" s="43">
        <v>0</v>
      </c>
      <c r="BA39" s="43">
        <v>0</v>
      </c>
      <c r="BB39" s="43">
        <v>100219060.59999999</v>
      </c>
      <c r="BC39" s="43">
        <v>1169530359.21</v>
      </c>
      <c r="BD39" s="43">
        <v>0</v>
      </c>
      <c r="BE39" s="43">
        <v>1125018880.45</v>
      </c>
      <c r="BF39" s="43">
        <v>0</v>
      </c>
      <c r="BG39" s="43">
        <v>19009153.219999999</v>
      </c>
      <c r="BH39" s="43">
        <v>0</v>
      </c>
      <c r="BI39" s="43">
        <v>0</v>
      </c>
      <c r="BJ39" s="43">
        <v>25502325.539999999</v>
      </c>
      <c r="BK39" s="43">
        <v>0</v>
      </c>
      <c r="BL39" s="43">
        <v>8079448797.0200005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62336.85</v>
      </c>
      <c r="CI39" s="43">
        <v>0</v>
      </c>
      <c r="CJ39" s="43">
        <v>0</v>
      </c>
      <c r="CK39" s="43">
        <v>62336.85</v>
      </c>
      <c r="CL39" s="43">
        <v>0</v>
      </c>
      <c r="CM39" s="43">
        <v>0</v>
      </c>
      <c r="CN39" s="43">
        <v>0</v>
      </c>
      <c r="CO39" s="43">
        <v>0</v>
      </c>
      <c r="CP39" s="43">
        <v>6888866282.3699999</v>
      </c>
      <c r="CQ39" s="43">
        <v>184146725.22</v>
      </c>
      <c r="CR39" s="43">
        <v>0</v>
      </c>
      <c r="CS39" s="43">
        <v>0</v>
      </c>
      <c r="CT39" s="43">
        <v>6704719557.1499996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651035057.3599999</v>
      </c>
      <c r="DB39" s="43">
        <v>544905001</v>
      </c>
      <c r="DC39" s="43">
        <v>0</v>
      </c>
      <c r="DD39" s="43">
        <v>0</v>
      </c>
      <c r="DE39" s="43">
        <v>129160447.70999999</v>
      </c>
      <c r="DF39" s="43">
        <v>8125285.7199999997</v>
      </c>
      <c r="DG39" s="43">
        <v>60411205.259999998</v>
      </c>
      <c r="DH39" s="43">
        <v>24709235.309999999</v>
      </c>
      <c r="DI39" s="43">
        <v>66752298.810000002</v>
      </c>
      <c r="DJ39" s="43">
        <v>-183028416.44999999</v>
      </c>
      <c r="DK39" s="43">
        <v>0</v>
      </c>
      <c r="DL39" s="43">
        <v>254295281.84000003</v>
      </c>
      <c r="DM39" s="43">
        <v>370729787.61000001</v>
      </c>
      <c r="DN39" s="43">
        <v>0</v>
      </c>
      <c r="DO39" s="43">
        <v>0</v>
      </c>
      <c r="DP39" s="43">
        <v>0</v>
      </c>
      <c r="DQ39" s="43">
        <v>0</v>
      </c>
      <c r="DR39" s="43">
        <v>-116434505.77</v>
      </c>
      <c r="DS39" s="43">
        <v>0</v>
      </c>
      <c r="DT39" s="43">
        <v>5466228.5999999996</v>
      </c>
      <c r="DU39" s="43">
        <v>0</v>
      </c>
      <c r="DV39" s="43">
        <v>0</v>
      </c>
      <c r="DW39" s="43">
        <v>5466228.5999999996</v>
      </c>
      <c r="DX39" s="43">
        <v>279723610</v>
      </c>
      <c r="DY39" s="43">
        <v>0</v>
      </c>
      <c r="DZ39" s="43">
        <v>0</v>
      </c>
      <c r="EA39" s="43">
        <v>0</v>
      </c>
      <c r="EB39" s="43">
        <v>0</v>
      </c>
      <c r="EC39" s="43">
        <v>279723610</v>
      </c>
      <c r="ED39" s="43">
        <v>0</v>
      </c>
      <c r="EE39" s="43">
        <v>0</v>
      </c>
      <c r="EF39" s="43">
        <v>0</v>
      </c>
    </row>
    <row r="40" spans="1:136" ht="13.5" customHeight="1">
      <c r="A40" s="40" t="s">
        <v>109</v>
      </c>
      <c r="B40" s="41">
        <v>1046</v>
      </c>
      <c r="C40" s="42" t="s">
        <v>415</v>
      </c>
      <c r="D40" s="43">
        <v>1462341221.8000002</v>
      </c>
      <c r="E40" s="43">
        <v>621704531.96000004</v>
      </c>
      <c r="F40" s="43">
        <v>25212.880000000001</v>
      </c>
      <c r="G40" s="43">
        <v>0</v>
      </c>
      <c r="H40" s="43">
        <v>466770290.98000002</v>
      </c>
      <c r="I40" s="43">
        <v>0</v>
      </c>
      <c r="J40" s="43">
        <v>154909028.09999999</v>
      </c>
      <c r="K40" s="43">
        <v>0</v>
      </c>
      <c r="L40" s="43">
        <v>325410569.89000005</v>
      </c>
      <c r="M40" s="43">
        <v>0</v>
      </c>
      <c r="N40" s="43">
        <v>41480594.100000001</v>
      </c>
      <c r="O40" s="43">
        <v>283929975.79000002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319088069.94</v>
      </c>
      <c r="V40" s="43">
        <v>320400686.88999999</v>
      </c>
      <c r="W40" s="43">
        <v>-1312616.95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66330252.729999997</v>
      </c>
      <c r="AE40" s="43">
        <v>-66330252.729999997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3110883.25</v>
      </c>
      <c r="AQ40" s="43">
        <v>0</v>
      </c>
      <c r="AR40" s="43">
        <v>0</v>
      </c>
      <c r="AS40" s="43">
        <v>0</v>
      </c>
      <c r="AT40" s="43">
        <v>3110883.25</v>
      </c>
      <c r="AU40" s="43">
        <v>0</v>
      </c>
      <c r="AV40" s="43">
        <v>80136193.909999996</v>
      </c>
      <c r="AW40" s="43">
        <v>-80136193.909999996</v>
      </c>
      <c r="AX40" s="43">
        <v>192966702.25999999</v>
      </c>
      <c r="AY40" s="43">
        <v>178778931.78</v>
      </c>
      <c r="AZ40" s="43">
        <v>0</v>
      </c>
      <c r="BA40" s="43">
        <v>10087203.59</v>
      </c>
      <c r="BB40" s="43">
        <v>4100566.89</v>
      </c>
      <c r="BC40" s="43">
        <v>60464.5</v>
      </c>
      <c r="BD40" s="43">
        <v>0</v>
      </c>
      <c r="BE40" s="43">
        <v>0</v>
      </c>
      <c r="BF40" s="43">
        <v>0</v>
      </c>
      <c r="BG40" s="43">
        <v>0</v>
      </c>
      <c r="BH40" s="43">
        <v>60464.5</v>
      </c>
      <c r="BI40" s="43">
        <v>0</v>
      </c>
      <c r="BJ40" s="43">
        <v>0</v>
      </c>
      <c r="BK40" s="43">
        <v>0</v>
      </c>
      <c r="BL40" s="43">
        <v>121555707.63999999</v>
      </c>
      <c r="BM40" s="43">
        <v>0</v>
      </c>
      <c r="BN40" s="43">
        <v>0</v>
      </c>
      <c r="BO40" s="43">
        <v>0</v>
      </c>
      <c r="BP40" s="43">
        <v>0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913599.41</v>
      </c>
      <c r="CI40" s="43">
        <v>0</v>
      </c>
      <c r="CJ40" s="43">
        <v>0</v>
      </c>
      <c r="CK40" s="43">
        <v>913599.41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119109015.22999999</v>
      </c>
      <c r="DB40" s="43">
        <v>0</v>
      </c>
      <c r="DC40" s="43">
        <v>0</v>
      </c>
      <c r="DD40" s="43">
        <v>29290691.190000001</v>
      </c>
      <c r="DE40" s="43">
        <v>0</v>
      </c>
      <c r="DF40" s="43">
        <v>7283555.5199999996</v>
      </c>
      <c r="DG40" s="43">
        <v>31543467.789999999</v>
      </c>
      <c r="DH40" s="43">
        <v>3781192.99</v>
      </c>
      <c r="DI40" s="43">
        <v>0</v>
      </c>
      <c r="DJ40" s="43">
        <v>-26245981.530000001</v>
      </c>
      <c r="DK40" s="43">
        <v>73456089.269999996</v>
      </c>
      <c r="DL40" s="43">
        <v>1533092.9999999998</v>
      </c>
      <c r="DM40" s="43">
        <v>3179784.61</v>
      </c>
      <c r="DN40" s="43">
        <v>0</v>
      </c>
      <c r="DO40" s="43">
        <v>0</v>
      </c>
      <c r="DP40" s="43">
        <v>0</v>
      </c>
      <c r="DQ40" s="43">
        <v>0</v>
      </c>
      <c r="DR40" s="43">
        <v>-1646691.61</v>
      </c>
      <c r="DS40" s="43">
        <v>0</v>
      </c>
      <c r="DT40" s="43">
        <v>0</v>
      </c>
      <c r="DU40" s="43">
        <v>0</v>
      </c>
      <c r="DV40" s="43">
        <v>0</v>
      </c>
      <c r="DW40" s="43">
        <v>0</v>
      </c>
      <c r="DX40" s="43">
        <v>0</v>
      </c>
      <c r="DY40" s="43">
        <v>0</v>
      </c>
      <c r="DZ40" s="43">
        <v>0</v>
      </c>
      <c r="EA40" s="43">
        <v>0</v>
      </c>
      <c r="EB40" s="43">
        <v>0</v>
      </c>
      <c r="EC40" s="43">
        <v>0</v>
      </c>
      <c r="ED40" s="43">
        <v>0</v>
      </c>
      <c r="EE40" s="43">
        <v>0</v>
      </c>
      <c r="EF40" s="43">
        <v>0</v>
      </c>
    </row>
    <row r="41" spans="1:136" ht="13.5" customHeight="1">
      <c r="A41" s="40" t="s">
        <v>112</v>
      </c>
      <c r="B41" s="41">
        <v>1048</v>
      </c>
      <c r="C41" s="42" t="s">
        <v>415</v>
      </c>
      <c r="D41" s="43">
        <v>14510366016.02</v>
      </c>
      <c r="E41" s="43">
        <v>5184235389.8299999</v>
      </c>
      <c r="F41" s="43">
        <v>0</v>
      </c>
      <c r="G41" s="43">
        <v>0</v>
      </c>
      <c r="H41" s="43">
        <v>2656194193.2400002</v>
      </c>
      <c r="I41" s="43">
        <v>0</v>
      </c>
      <c r="J41" s="43">
        <v>2528041196.5900002</v>
      </c>
      <c r="K41" s="43">
        <v>0</v>
      </c>
      <c r="L41" s="43">
        <v>3592824614.1400003</v>
      </c>
      <c r="M41" s="43">
        <v>475877676.60000002</v>
      </c>
      <c r="N41" s="43">
        <v>1402416783.3300002</v>
      </c>
      <c r="O41" s="43">
        <v>1714530154.2099998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2812145283.6500001</v>
      </c>
      <c r="V41" s="43">
        <v>2322487037.8099999</v>
      </c>
      <c r="W41" s="43">
        <v>0</v>
      </c>
      <c r="X41" s="43">
        <v>489658245.83999997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101774544.73</v>
      </c>
      <c r="AE41" s="43">
        <v>-101774544.73</v>
      </c>
      <c r="AF41" s="43">
        <v>36533521.509999998</v>
      </c>
      <c r="AG41" s="43">
        <v>0</v>
      </c>
      <c r="AH41" s="43">
        <v>0</v>
      </c>
      <c r="AI41" s="43">
        <v>0</v>
      </c>
      <c r="AJ41" s="43">
        <v>37620676.299999997</v>
      </c>
      <c r="AK41" s="43">
        <v>-1087154.79</v>
      </c>
      <c r="AL41" s="43">
        <v>0</v>
      </c>
      <c r="AM41" s="43">
        <v>0</v>
      </c>
      <c r="AN41" s="43">
        <v>0</v>
      </c>
      <c r="AO41" s="43">
        <v>0</v>
      </c>
      <c r="AP41" s="43">
        <v>409876156.63999999</v>
      </c>
      <c r="AQ41" s="43">
        <v>0</v>
      </c>
      <c r="AR41" s="43">
        <v>0</v>
      </c>
      <c r="AS41" s="43">
        <v>14795041.289999999</v>
      </c>
      <c r="AT41" s="43">
        <v>395081115.34999996</v>
      </c>
      <c r="AU41" s="43">
        <v>0</v>
      </c>
      <c r="AV41" s="43">
        <v>0</v>
      </c>
      <c r="AW41" s="43">
        <v>0</v>
      </c>
      <c r="AX41" s="43">
        <v>2442902000.9699998</v>
      </c>
      <c r="AY41" s="43">
        <v>2334627865.5599999</v>
      </c>
      <c r="AZ41" s="43">
        <v>0</v>
      </c>
      <c r="BA41" s="43">
        <v>0</v>
      </c>
      <c r="BB41" s="43">
        <v>108274135.41</v>
      </c>
      <c r="BC41" s="43">
        <v>31849049.280000001</v>
      </c>
      <c r="BD41" s="43">
        <v>0</v>
      </c>
      <c r="BE41" s="43">
        <v>31376996.120000001</v>
      </c>
      <c r="BF41" s="43">
        <v>0</v>
      </c>
      <c r="BG41" s="43">
        <v>15000</v>
      </c>
      <c r="BH41" s="43">
        <v>457053.16</v>
      </c>
      <c r="BI41" s="43">
        <v>0</v>
      </c>
      <c r="BJ41" s="43">
        <v>0</v>
      </c>
      <c r="BK41" s="43">
        <v>0</v>
      </c>
      <c r="BL41" s="43">
        <v>609295884.64999998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2645376.2799999998</v>
      </c>
      <c r="CI41" s="43">
        <v>0</v>
      </c>
      <c r="CJ41" s="43">
        <v>0</v>
      </c>
      <c r="CK41" s="43">
        <v>2645376.2799999998</v>
      </c>
      <c r="CL41" s="43">
        <v>0</v>
      </c>
      <c r="CM41" s="43">
        <v>0</v>
      </c>
      <c r="CN41" s="43">
        <v>0</v>
      </c>
      <c r="CO41" s="43">
        <v>0</v>
      </c>
      <c r="CP41" s="43">
        <v>10064486.9</v>
      </c>
      <c r="CQ41" s="43">
        <v>10064486.9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364538159.39999998</v>
      </c>
      <c r="DB41" s="43">
        <v>0</v>
      </c>
      <c r="DC41" s="43">
        <v>0</v>
      </c>
      <c r="DD41" s="43">
        <v>11081112</v>
      </c>
      <c r="DE41" s="43">
        <v>0</v>
      </c>
      <c r="DF41" s="43">
        <v>47892049.75</v>
      </c>
      <c r="DG41" s="43">
        <v>161271154.88</v>
      </c>
      <c r="DH41" s="43">
        <v>179383054.59999999</v>
      </c>
      <c r="DI41" s="43">
        <v>85830211.329999998</v>
      </c>
      <c r="DJ41" s="43">
        <v>-120919423.16</v>
      </c>
      <c r="DK41" s="43">
        <v>0</v>
      </c>
      <c r="DL41" s="43">
        <v>3426925.2300000004</v>
      </c>
      <c r="DM41" s="43">
        <v>13496337.640000001</v>
      </c>
      <c r="DN41" s="43">
        <v>0</v>
      </c>
      <c r="DO41" s="43">
        <v>0</v>
      </c>
      <c r="DP41" s="43">
        <v>0</v>
      </c>
      <c r="DQ41" s="43">
        <v>0</v>
      </c>
      <c r="DR41" s="43">
        <v>-10069412.41</v>
      </c>
      <c r="DS41" s="43">
        <v>0</v>
      </c>
      <c r="DT41" s="43">
        <v>0</v>
      </c>
      <c r="DU41" s="43">
        <v>0</v>
      </c>
      <c r="DV41" s="43">
        <v>0</v>
      </c>
      <c r="DW41" s="43">
        <v>0</v>
      </c>
      <c r="DX41" s="43">
        <v>228620936.84</v>
      </c>
      <c r="DY41" s="43">
        <v>0</v>
      </c>
      <c r="DZ41" s="43">
        <v>0</v>
      </c>
      <c r="EA41" s="43">
        <v>0</v>
      </c>
      <c r="EB41" s="43">
        <v>0</v>
      </c>
      <c r="EC41" s="43">
        <v>228620936.84</v>
      </c>
      <c r="ED41" s="43">
        <v>0</v>
      </c>
      <c r="EE41" s="43">
        <v>0</v>
      </c>
      <c r="EF41" s="43">
        <v>0</v>
      </c>
    </row>
    <row r="42" spans="1:136" ht="13.5" customHeight="1">
      <c r="A42" s="40" t="s">
        <v>115</v>
      </c>
      <c r="B42" s="41">
        <v>1049</v>
      </c>
      <c r="C42" s="42" t="s">
        <v>415</v>
      </c>
      <c r="D42" s="43">
        <v>7056915956.5300035</v>
      </c>
      <c r="E42" s="43">
        <v>5044357039.170002</v>
      </c>
      <c r="F42" s="43">
        <v>0</v>
      </c>
      <c r="G42" s="43">
        <v>0</v>
      </c>
      <c r="H42" s="43">
        <v>4170560213.6600018</v>
      </c>
      <c r="I42" s="43">
        <v>0</v>
      </c>
      <c r="J42" s="43">
        <v>873796825.51000023</v>
      </c>
      <c r="K42" s="43">
        <v>0</v>
      </c>
      <c r="L42" s="43">
        <v>235500543.86000216</v>
      </c>
      <c r="M42" s="43">
        <v>0</v>
      </c>
      <c r="N42" s="43">
        <v>0</v>
      </c>
      <c r="O42" s="43">
        <v>235500543.86000216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1097335934.4699998</v>
      </c>
      <c r="V42" s="43">
        <v>1219412443.4799998</v>
      </c>
      <c r="W42" s="43">
        <v>-122076509.00999999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63780086.230000019</v>
      </c>
      <c r="AE42" s="43">
        <v>-63780086.230000019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102461869.99000001</v>
      </c>
      <c r="AQ42" s="43">
        <v>0</v>
      </c>
      <c r="AR42" s="43">
        <v>0</v>
      </c>
      <c r="AS42" s="43">
        <v>120900</v>
      </c>
      <c r="AT42" s="43">
        <v>102340969.99000001</v>
      </c>
      <c r="AU42" s="43">
        <v>0</v>
      </c>
      <c r="AV42" s="43">
        <v>0</v>
      </c>
      <c r="AW42" s="43">
        <v>0</v>
      </c>
      <c r="AX42" s="43">
        <v>441382932.3499999</v>
      </c>
      <c r="AY42" s="43">
        <v>431978997.13999987</v>
      </c>
      <c r="AZ42" s="43">
        <v>0</v>
      </c>
      <c r="BA42" s="43">
        <v>0</v>
      </c>
      <c r="BB42" s="43">
        <v>9403935.2100000083</v>
      </c>
      <c r="BC42" s="43">
        <v>135877636.69</v>
      </c>
      <c r="BD42" s="43">
        <v>0</v>
      </c>
      <c r="BE42" s="43">
        <v>132327807.5</v>
      </c>
      <c r="BF42" s="43">
        <v>0</v>
      </c>
      <c r="BG42" s="43">
        <v>3549829.19</v>
      </c>
      <c r="BH42" s="43">
        <v>0</v>
      </c>
      <c r="BI42" s="43">
        <v>0</v>
      </c>
      <c r="BJ42" s="43">
        <v>0</v>
      </c>
      <c r="BK42" s="43">
        <v>0</v>
      </c>
      <c r="BL42" s="43">
        <v>1242487840.9400003</v>
      </c>
      <c r="BM42" s="43">
        <v>0</v>
      </c>
      <c r="BN42" s="43">
        <v>0</v>
      </c>
      <c r="BO42" s="43">
        <v>0</v>
      </c>
      <c r="BP42" s="43">
        <v>0</v>
      </c>
      <c r="BQ42" s="43">
        <v>0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16651655.439999999</v>
      </c>
      <c r="CQ42" s="43">
        <v>16651655.439999999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1117815907.5500002</v>
      </c>
      <c r="DB42" s="43">
        <v>1110731631.9200001</v>
      </c>
      <c r="DC42" s="43">
        <v>0</v>
      </c>
      <c r="DD42" s="43">
        <v>0</v>
      </c>
      <c r="DE42" s="43">
        <v>0</v>
      </c>
      <c r="DF42" s="43">
        <v>9715933.1699999999</v>
      </c>
      <c r="DG42" s="43">
        <v>2738500</v>
      </c>
      <c r="DH42" s="43">
        <v>3729282.71</v>
      </c>
      <c r="DI42" s="43">
        <v>12338018.880000001</v>
      </c>
      <c r="DJ42" s="43">
        <v>-21437459.130000003</v>
      </c>
      <c r="DK42" s="43">
        <v>0</v>
      </c>
      <c r="DL42" s="43">
        <v>758248.12999999896</v>
      </c>
      <c r="DM42" s="43">
        <v>7793820.0199999996</v>
      </c>
      <c r="DN42" s="43">
        <v>0</v>
      </c>
      <c r="DO42" s="43">
        <v>0</v>
      </c>
      <c r="DP42" s="43">
        <v>0</v>
      </c>
      <c r="DQ42" s="43">
        <v>0</v>
      </c>
      <c r="DR42" s="43">
        <v>-7035571.8900000006</v>
      </c>
      <c r="DS42" s="43">
        <v>0</v>
      </c>
      <c r="DT42" s="43">
        <v>0</v>
      </c>
      <c r="DU42" s="43">
        <v>0</v>
      </c>
      <c r="DV42" s="43">
        <v>0</v>
      </c>
      <c r="DW42" s="43">
        <v>0</v>
      </c>
      <c r="DX42" s="43">
        <v>107262029.81999999</v>
      </c>
      <c r="DY42" s="43">
        <v>0</v>
      </c>
      <c r="DZ42" s="43">
        <v>0</v>
      </c>
      <c r="EA42" s="43">
        <v>0</v>
      </c>
      <c r="EB42" s="43">
        <v>0</v>
      </c>
      <c r="EC42" s="43">
        <v>107262029.81999999</v>
      </c>
      <c r="ED42" s="43">
        <v>0</v>
      </c>
      <c r="EE42" s="43">
        <v>0</v>
      </c>
      <c r="EF42" s="43">
        <v>0</v>
      </c>
    </row>
    <row r="43" spans="1:136" ht="13.5" customHeight="1">
      <c r="A43" s="40" t="s">
        <v>118</v>
      </c>
      <c r="B43" s="41">
        <v>1051</v>
      </c>
      <c r="C43" s="42" t="s">
        <v>415</v>
      </c>
      <c r="D43" s="43">
        <v>861429107.73999989</v>
      </c>
      <c r="E43" s="43">
        <v>485505853.09999996</v>
      </c>
      <c r="F43" s="43">
        <v>165404.65</v>
      </c>
      <c r="G43" s="43">
        <v>0</v>
      </c>
      <c r="H43" s="43">
        <v>485340448.44999999</v>
      </c>
      <c r="I43" s="43">
        <v>0</v>
      </c>
      <c r="J43" s="43">
        <v>0</v>
      </c>
      <c r="K43" s="43">
        <v>0</v>
      </c>
      <c r="L43" s="43">
        <v>94447587.709999993</v>
      </c>
      <c r="M43" s="43">
        <v>87262881.25</v>
      </c>
      <c r="N43" s="43">
        <v>7184706.46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196884380.50999999</v>
      </c>
      <c r="V43" s="43">
        <v>199669980.53</v>
      </c>
      <c r="W43" s="43">
        <v>-2785600.0199999996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238721479.74000001</v>
      </c>
      <c r="AE43" s="43">
        <v>-238721479.74000001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44649067.980000004</v>
      </c>
      <c r="AQ43" s="43">
        <v>0</v>
      </c>
      <c r="AR43" s="43">
        <v>0</v>
      </c>
      <c r="AS43" s="43">
        <v>25681889.739999998</v>
      </c>
      <c r="AT43" s="43">
        <v>18967178.240000002</v>
      </c>
      <c r="AU43" s="43">
        <v>0</v>
      </c>
      <c r="AV43" s="43">
        <v>0</v>
      </c>
      <c r="AW43" s="43">
        <v>0</v>
      </c>
      <c r="AX43" s="43">
        <v>20221135.539999999</v>
      </c>
      <c r="AY43" s="43">
        <v>5196404.3</v>
      </c>
      <c r="AZ43" s="43">
        <v>8660284.1600000001</v>
      </c>
      <c r="BA43" s="43">
        <v>0</v>
      </c>
      <c r="BB43" s="43">
        <v>6364447.0800000001</v>
      </c>
      <c r="BC43" s="43">
        <v>19721082.899999999</v>
      </c>
      <c r="BD43" s="43">
        <v>0</v>
      </c>
      <c r="BE43" s="43">
        <v>14143000.369999999</v>
      </c>
      <c r="BF43" s="43">
        <v>0</v>
      </c>
      <c r="BG43" s="43">
        <v>5578082.5300000003</v>
      </c>
      <c r="BH43" s="43">
        <v>0</v>
      </c>
      <c r="BI43" s="43">
        <v>0</v>
      </c>
      <c r="BJ43" s="43">
        <v>0</v>
      </c>
      <c r="BK43" s="43">
        <v>0</v>
      </c>
      <c r="BL43" s="43">
        <v>47033045.879999988</v>
      </c>
      <c r="BM43" s="43">
        <v>0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10000000</v>
      </c>
      <c r="CQ43" s="43">
        <v>0</v>
      </c>
      <c r="CR43" s="43">
        <v>0</v>
      </c>
      <c r="CS43" s="43">
        <v>0</v>
      </c>
      <c r="CT43" s="43">
        <v>20000000</v>
      </c>
      <c r="CU43" s="43">
        <v>-10000000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25533401.369999994</v>
      </c>
      <c r="DB43" s="43">
        <v>0</v>
      </c>
      <c r="DC43" s="43">
        <v>0</v>
      </c>
      <c r="DD43" s="43">
        <v>0</v>
      </c>
      <c r="DE43" s="43">
        <v>0</v>
      </c>
      <c r="DF43" s="43">
        <v>9255187.7200000007</v>
      </c>
      <c r="DG43" s="43">
        <v>23880937</v>
      </c>
      <c r="DH43" s="43">
        <v>9442857.4399999995</v>
      </c>
      <c r="DI43" s="43">
        <v>6719832</v>
      </c>
      <c r="DJ43" s="43">
        <v>-23765412.790000003</v>
      </c>
      <c r="DK43" s="43">
        <v>0</v>
      </c>
      <c r="DL43" s="43">
        <v>40278.570000000065</v>
      </c>
      <c r="DM43" s="43">
        <v>802374.66</v>
      </c>
      <c r="DN43" s="43">
        <v>0</v>
      </c>
      <c r="DO43" s="43">
        <v>0</v>
      </c>
      <c r="DP43" s="43">
        <v>0</v>
      </c>
      <c r="DQ43" s="43">
        <v>0</v>
      </c>
      <c r="DR43" s="43">
        <v>-762096.09</v>
      </c>
      <c r="DS43" s="43">
        <v>0</v>
      </c>
      <c r="DT43" s="43">
        <v>0</v>
      </c>
      <c r="DU43" s="43">
        <v>0</v>
      </c>
      <c r="DV43" s="43">
        <v>0</v>
      </c>
      <c r="DW43" s="43">
        <v>0</v>
      </c>
      <c r="DX43" s="43">
        <v>11459365.939999999</v>
      </c>
      <c r="DY43" s="43">
        <v>0</v>
      </c>
      <c r="DZ43" s="43">
        <v>0</v>
      </c>
      <c r="EA43" s="43">
        <v>0</v>
      </c>
      <c r="EB43" s="43">
        <v>0</v>
      </c>
      <c r="EC43" s="43">
        <v>11459365.939999999</v>
      </c>
      <c r="ED43" s="43">
        <v>0</v>
      </c>
      <c r="EE43" s="43">
        <v>0</v>
      </c>
      <c r="EF43" s="43">
        <v>0</v>
      </c>
    </row>
    <row r="44" spans="1:136" ht="13.5" customHeight="1">
      <c r="A44" s="40" t="s">
        <v>121</v>
      </c>
      <c r="B44" s="41">
        <v>1052</v>
      </c>
      <c r="C44" s="42" t="s">
        <v>415</v>
      </c>
      <c r="D44" s="43">
        <v>1558936764.2500002</v>
      </c>
      <c r="E44" s="43">
        <v>1118073848.75</v>
      </c>
      <c r="F44" s="43">
        <v>0</v>
      </c>
      <c r="G44" s="43">
        <v>0</v>
      </c>
      <c r="H44" s="43">
        <v>1106136356.74</v>
      </c>
      <c r="I44" s="43">
        <v>0</v>
      </c>
      <c r="J44" s="43">
        <v>11937492.01</v>
      </c>
      <c r="K44" s="43">
        <v>0</v>
      </c>
      <c r="L44" s="43">
        <v>284551418.68000001</v>
      </c>
      <c r="M44" s="43">
        <v>0</v>
      </c>
      <c r="N44" s="43">
        <v>0</v>
      </c>
      <c r="O44" s="43">
        <v>284551418.68000001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29380040.219999999</v>
      </c>
      <c r="V44" s="43">
        <v>29380040.219999999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138749.98000000001</v>
      </c>
      <c r="AG44" s="43">
        <v>0</v>
      </c>
      <c r="AH44" s="43">
        <v>0</v>
      </c>
      <c r="AI44" s="43">
        <v>0</v>
      </c>
      <c r="AJ44" s="43">
        <v>0</v>
      </c>
      <c r="AK44" s="43">
        <v>138749.98000000001</v>
      </c>
      <c r="AL44" s="43">
        <v>0</v>
      </c>
      <c r="AM44" s="43">
        <v>0</v>
      </c>
      <c r="AN44" s="43">
        <v>0</v>
      </c>
      <c r="AO44" s="43">
        <v>0</v>
      </c>
      <c r="AP44" s="43">
        <v>-33023.620000000003</v>
      </c>
      <c r="AQ44" s="43">
        <v>0</v>
      </c>
      <c r="AR44" s="43">
        <v>0</v>
      </c>
      <c r="AS44" s="43">
        <v>0</v>
      </c>
      <c r="AT44" s="43">
        <v>-33023.620000000003</v>
      </c>
      <c r="AU44" s="43">
        <v>0</v>
      </c>
      <c r="AV44" s="43">
        <v>0</v>
      </c>
      <c r="AW44" s="43">
        <v>0</v>
      </c>
      <c r="AX44" s="43">
        <v>60685356.829999998</v>
      </c>
      <c r="AY44" s="43">
        <v>10372068.970000001</v>
      </c>
      <c r="AZ44" s="43">
        <v>0</v>
      </c>
      <c r="BA44" s="43">
        <v>0</v>
      </c>
      <c r="BB44" s="43">
        <v>50313287.859999999</v>
      </c>
      <c r="BC44" s="43">
        <v>66140373.409999996</v>
      </c>
      <c r="BD44" s="43">
        <v>0</v>
      </c>
      <c r="BE44" s="43">
        <v>66140378.219999999</v>
      </c>
      <c r="BF44" s="43">
        <v>0</v>
      </c>
      <c r="BG44" s="43">
        <v>0</v>
      </c>
      <c r="BH44" s="43">
        <v>0</v>
      </c>
      <c r="BI44" s="43">
        <v>0.3</v>
      </c>
      <c r="BJ44" s="43">
        <v>-5.1100000000000003</v>
      </c>
      <c r="BK44" s="43">
        <v>0</v>
      </c>
      <c r="BL44" s="43">
        <v>35161347.189999998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16919670.640000001</v>
      </c>
      <c r="DB44" s="43">
        <v>0</v>
      </c>
      <c r="DC44" s="43">
        <v>0</v>
      </c>
      <c r="DD44" s="43">
        <v>0</v>
      </c>
      <c r="DE44" s="43">
        <v>0</v>
      </c>
      <c r="DF44" s="43">
        <v>3280408.56</v>
      </c>
      <c r="DG44" s="43">
        <v>0</v>
      </c>
      <c r="DH44" s="43">
        <v>2464748.94</v>
      </c>
      <c r="DI44" s="43">
        <v>30892133.890000001</v>
      </c>
      <c r="DJ44" s="43">
        <v>-19717620.75</v>
      </c>
      <c r="DK44" s="43">
        <v>0</v>
      </c>
      <c r="DL44" s="43">
        <v>243460.42000000016</v>
      </c>
      <c r="DM44" s="43">
        <v>2063396.37</v>
      </c>
      <c r="DN44" s="43">
        <v>0</v>
      </c>
      <c r="DO44" s="43">
        <v>0</v>
      </c>
      <c r="DP44" s="43">
        <v>0</v>
      </c>
      <c r="DQ44" s="43">
        <v>0</v>
      </c>
      <c r="DR44" s="43">
        <v>-1819935.95</v>
      </c>
      <c r="DS44" s="43">
        <v>0</v>
      </c>
      <c r="DT44" s="43">
        <v>0</v>
      </c>
      <c r="DU44" s="43">
        <v>0</v>
      </c>
      <c r="DV44" s="43">
        <v>0</v>
      </c>
      <c r="DW44" s="43">
        <v>0</v>
      </c>
      <c r="DX44" s="43">
        <v>17998216.129999999</v>
      </c>
      <c r="DY44" s="43">
        <v>0</v>
      </c>
      <c r="DZ44" s="43">
        <v>0</v>
      </c>
      <c r="EA44" s="43">
        <v>0</v>
      </c>
      <c r="EB44" s="43">
        <v>0</v>
      </c>
      <c r="EC44" s="43">
        <v>17998216.129999999</v>
      </c>
      <c r="ED44" s="43">
        <v>0</v>
      </c>
      <c r="EE44" s="43">
        <v>0</v>
      </c>
      <c r="EF44" s="43">
        <v>0</v>
      </c>
    </row>
    <row r="45" spans="1:136" ht="13.5" customHeight="1">
      <c r="A45" s="40" t="s">
        <v>124</v>
      </c>
      <c r="B45" s="41">
        <v>1053</v>
      </c>
      <c r="C45" s="42" t="s">
        <v>415</v>
      </c>
      <c r="D45" s="43">
        <v>45264222624.309998</v>
      </c>
      <c r="E45" s="43">
        <v>509443065.81999999</v>
      </c>
      <c r="F45" s="43">
        <v>0</v>
      </c>
      <c r="G45" s="43">
        <v>0</v>
      </c>
      <c r="H45" s="43">
        <v>357060969.63</v>
      </c>
      <c r="I45" s="43">
        <v>0</v>
      </c>
      <c r="J45" s="43">
        <v>152382096.19</v>
      </c>
      <c r="K45" s="43">
        <v>0</v>
      </c>
      <c r="L45" s="43">
        <v>41469860993.880005</v>
      </c>
      <c r="M45" s="43">
        <v>4311181751.79</v>
      </c>
      <c r="N45" s="43">
        <v>0</v>
      </c>
      <c r="O45" s="43">
        <v>37158679242.090004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614299988.55999947</v>
      </c>
      <c r="V45" s="43">
        <v>614299988.28999949</v>
      </c>
      <c r="W45" s="43">
        <v>-93484827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514216268.39999998</v>
      </c>
      <c r="AE45" s="43">
        <v>-420731441.13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-35385932.980000004</v>
      </c>
      <c r="AQ45" s="43">
        <v>0</v>
      </c>
      <c r="AR45" s="43">
        <v>0</v>
      </c>
      <c r="AS45" s="43">
        <v>5242380.9000000004</v>
      </c>
      <c r="AT45" s="43">
        <v>-40628313.880000003</v>
      </c>
      <c r="AU45" s="43">
        <v>0</v>
      </c>
      <c r="AV45" s="43">
        <v>0</v>
      </c>
      <c r="AW45" s="43">
        <v>0</v>
      </c>
      <c r="AX45" s="43">
        <v>2705399152.29</v>
      </c>
      <c r="AY45" s="43">
        <v>2705399152.29</v>
      </c>
      <c r="AZ45" s="43">
        <v>0</v>
      </c>
      <c r="BA45" s="43">
        <v>0</v>
      </c>
      <c r="BB45" s="43">
        <v>0</v>
      </c>
      <c r="BC45" s="43">
        <v>605356.74</v>
      </c>
      <c r="BD45" s="43">
        <v>0</v>
      </c>
      <c r="BE45" s="43">
        <v>0</v>
      </c>
      <c r="BF45" s="43">
        <v>0</v>
      </c>
      <c r="BG45" s="43">
        <v>605356.74</v>
      </c>
      <c r="BH45" s="43">
        <v>0</v>
      </c>
      <c r="BI45" s="43">
        <v>0</v>
      </c>
      <c r="BJ45" s="43">
        <v>0</v>
      </c>
      <c r="BK45" s="43">
        <v>0</v>
      </c>
      <c r="BL45" s="43">
        <v>158572494.25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152197588.56999999</v>
      </c>
      <c r="DB45" s="43">
        <v>0</v>
      </c>
      <c r="DC45" s="43">
        <v>0</v>
      </c>
      <c r="DD45" s="43">
        <v>0</v>
      </c>
      <c r="DE45" s="43">
        <v>0</v>
      </c>
      <c r="DF45" s="43">
        <v>32783309.489999998</v>
      </c>
      <c r="DG45" s="43">
        <v>40185709.799999997</v>
      </c>
      <c r="DH45" s="43">
        <v>38156781.640000001</v>
      </c>
      <c r="DI45" s="43">
        <v>120569191.23999999</v>
      </c>
      <c r="DJ45" s="43">
        <v>-79497403.599999994</v>
      </c>
      <c r="DK45" s="43">
        <v>0</v>
      </c>
      <c r="DL45" s="43">
        <v>6374905.6799999997</v>
      </c>
      <c r="DM45" s="43">
        <v>2151783.02</v>
      </c>
      <c r="DN45" s="43">
        <v>0</v>
      </c>
      <c r="DO45" s="43">
        <v>0</v>
      </c>
      <c r="DP45" s="43">
        <v>0</v>
      </c>
      <c r="DQ45" s="43">
        <v>12905477.26</v>
      </c>
      <c r="DR45" s="43">
        <v>-8682354.5999999996</v>
      </c>
      <c r="DS45" s="43">
        <v>0</v>
      </c>
      <c r="DT45" s="43">
        <v>0</v>
      </c>
      <c r="DU45" s="43">
        <v>0</v>
      </c>
      <c r="DV45" s="43">
        <v>0</v>
      </c>
      <c r="DW45" s="43">
        <v>0</v>
      </c>
      <c r="DX45" s="43">
        <v>0</v>
      </c>
      <c r="DY45" s="43">
        <v>0</v>
      </c>
      <c r="DZ45" s="43">
        <v>0</v>
      </c>
      <c r="EA45" s="43">
        <v>0</v>
      </c>
      <c r="EB45" s="43">
        <v>0</v>
      </c>
      <c r="EC45" s="43">
        <v>0</v>
      </c>
      <c r="ED45" s="43">
        <v>0</v>
      </c>
      <c r="EE45" s="43">
        <v>0</v>
      </c>
      <c r="EF45" s="43">
        <v>0</v>
      </c>
    </row>
    <row r="46" spans="1:136" ht="13.5" customHeight="1">
      <c r="A46" s="40" t="s">
        <v>127</v>
      </c>
      <c r="B46" s="41">
        <v>1054</v>
      </c>
      <c r="C46" s="42" t="s">
        <v>415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43">
        <v>0</v>
      </c>
      <c r="DK46" s="43">
        <v>0</v>
      </c>
      <c r="DL46" s="43">
        <v>0</v>
      </c>
      <c r="DM46" s="43">
        <v>0</v>
      </c>
      <c r="DN46" s="43">
        <v>0</v>
      </c>
      <c r="DO46" s="43">
        <v>0</v>
      </c>
      <c r="DP46" s="43">
        <v>0</v>
      </c>
      <c r="DQ46" s="43">
        <v>0</v>
      </c>
      <c r="DR46" s="43">
        <v>0</v>
      </c>
      <c r="DS46" s="43">
        <v>0</v>
      </c>
      <c r="DT46" s="43">
        <v>0</v>
      </c>
      <c r="DU46" s="43">
        <v>0</v>
      </c>
      <c r="DV46" s="43">
        <v>0</v>
      </c>
      <c r="DW46" s="43">
        <v>0</v>
      </c>
      <c r="DX46" s="43">
        <v>0</v>
      </c>
      <c r="DY46" s="43">
        <v>0</v>
      </c>
      <c r="DZ46" s="43">
        <v>0</v>
      </c>
      <c r="EA46" s="43">
        <v>0</v>
      </c>
      <c r="EB46" s="43">
        <v>0</v>
      </c>
      <c r="EC46" s="43">
        <v>0</v>
      </c>
      <c r="ED46" s="43">
        <v>0</v>
      </c>
      <c r="EE46" s="43">
        <v>0</v>
      </c>
      <c r="EF46" s="43">
        <v>0</v>
      </c>
    </row>
    <row r="47" spans="1:136" ht="13.5" customHeight="1">
      <c r="A47" s="40" t="s">
        <v>130</v>
      </c>
      <c r="B47" s="41">
        <v>1055</v>
      </c>
      <c r="C47" s="42" t="s">
        <v>415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3">
        <v>0</v>
      </c>
      <c r="AX47" s="43">
        <v>0</v>
      </c>
      <c r="AY47" s="43">
        <v>0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0</v>
      </c>
      <c r="BR47" s="43">
        <v>0</v>
      </c>
      <c r="BS47" s="43">
        <v>0</v>
      </c>
      <c r="BT47" s="43">
        <v>0</v>
      </c>
      <c r="BU47" s="43">
        <v>0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  <c r="CK47" s="43">
        <v>0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0</v>
      </c>
      <c r="DC47" s="43">
        <v>0</v>
      </c>
      <c r="DD47" s="43">
        <v>0</v>
      </c>
      <c r="DE47" s="43">
        <v>0</v>
      </c>
      <c r="DF47" s="43">
        <v>0</v>
      </c>
      <c r="DG47" s="43">
        <v>0</v>
      </c>
      <c r="DH47" s="43">
        <v>0</v>
      </c>
      <c r="DI47" s="43">
        <v>0</v>
      </c>
      <c r="DJ47" s="43">
        <v>0</v>
      </c>
      <c r="DK47" s="43">
        <v>0</v>
      </c>
      <c r="DL47" s="43">
        <v>0</v>
      </c>
      <c r="DM47" s="43">
        <v>0</v>
      </c>
      <c r="DN47" s="43">
        <v>0</v>
      </c>
      <c r="DO47" s="43">
        <v>0</v>
      </c>
      <c r="DP47" s="43">
        <v>0</v>
      </c>
      <c r="DQ47" s="43">
        <v>0</v>
      </c>
      <c r="DR47" s="43">
        <v>0</v>
      </c>
      <c r="DS47" s="43">
        <v>0</v>
      </c>
      <c r="DT47" s="43">
        <v>0</v>
      </c>
      <c r="DU47" s="43">
        <v>0</v>
      </c>
      <c r="DV47" s="43">
        <v>0</v>
      </c>
      <c r="DW47" s="43">
        <v>0</v>
      </c>
      <c r="DX47" s="43">
        <v>0</v>
      </c>
      <c r="DY47" s="43">
        <v>0</v>
      </c>
      <c r="DZ47" s="43">
        <v>0</v>
      </c>
      <c r="EA47" s="43">
        <v>0</v>
      </c>
      <c r="EB47" s="43">
        <v>0</v>
      </c>
      <c r="EC47" s="43">
        <v>0</v>
      </c>
      <c r="ED47" s="43">
        <v>0</v>
      </c>
      <c r="EE47" s="43">
        <v>0</v>
      </c>
      <c r="EF47" s="43">
        <v>0</v>
      </c>
    </row>
    <row r="48" spans="1:136" ht="13.5" customHeight="1">
      <c r="A48" s="40" t="s">
        <v>133</v>
      </c>
      <c r="B48" s="41">
        <v>1056</v>
      </c>
      <c r="C48" s="42" t="s">
        <v>415</v>
      </c>
      <c r="D48" s="43">
        <v>10528192141.710001</v>
      </c>
      <c r="E48" s="43">
        <v>3990408694.9200001</v>
      </c>
      <c r="F48" s="43">
        <v>0</v>
      </c>
      <c r="G48" s="43">
        <v>0</v>
      </c>
      <c r="H48" s="43">
        <v>3964762032.1300001</v>
      </c>
      <c r="I48" s="43">
        <v>0</v>
      </c>
      <c r="J48" s="43">
        <v>25646662.789999999</v>
      </c>
      <c r="K48" s="43">
        <v>0</v>
      </c>
      <c r="L48" s="43">
        <v>5783755475.9899988</v>
      </c>
      <c r="M48" s="43">
        <v>5783755475.9899988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184269257.95000002</v>
      </c>
      <c r="V48" s="43">
        <v>184269257.95000002</v>
      </c>
      <c r="W48" s="43">
        <v>0</v>
      </c>
      <c r="X48" s="43"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3"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151678622.41999999</v>
      </c>
      <c r="AQ48" s="43">
        <v>0</v>
      </c>
      <c r="AR48" s="43">
        <v>0</v>
      </c>
      <c r="AS48" s="43">
        <v>9010.57</v>
      </c>
      <c r="AT48" s="43">
        <v>151669611.84999999</v>
      </c>
      <c r="AU48" s="43">
        <v>0</v>
      </c>
      <c r="AV48" s="43">
        <v>0</v>
      </c>
      <c r="AW48" s="43">
        <v>0</v>
      </c>
      <c r="AX48" s="43">
        <v>291936299.81</v>
      </c>
      <c r="AY48" s="43">
        <v>269805171.36000001</v>
      </c>
      <c r="AZ48" s="43">
        <v>0</v>
      </c>
      <c r="BA48" s="43">
        <v>0</v>
      </c>
      <c r="BB48" s="43">
        <v>22131128.449999999</v>
      </c>
      <c r="BC48" s="43">
        <v>126143790.62</v>
      </c>
      <c r="BD48" s="43">
        <v>0</v>
      </c>
      <c r="BE48" s="43">
        <v>122852191.90000001</v>
      </c>
      <c r="BF48" s="43">
        <v>0</v>
      </c>
      <c r="BG48" s="43">
        <v>0</v>
      </c>
      <c r="BH48" s="43">
        <v>0</v>
      </c>
      <c r="BI48" s="43">
        <v>0</v>
      </c>
      <c r="BJ48" s="43">
        <v>3291598.72</v>
      </c>
      <c r="BK48" s="43">
        <v>0</v>
      </c>
      <c r="BL48" s="43">
        <v>164863996.83000001</v>
      </c>
      <c r="BM48" s="43">
        <v>0</v>
      </c>
      <c r="BN48" s="43">
        <v>0</v>
      </c>
      <c r="BO48" s="43">
        <v>0</v>
      </c>
      <c r="BP48" s="43">
        <v>0</v>
      </c>
      <c r="BQ48" s="43">
        <v>0</v>
      </c>
      <c r="BR48" s="43">
        <v>0</v>
      </c>
      <c r="BS48" s="43">
        <v>0</v>
      </c>
      <c r="BT48" s="43">
        <v>0</v>
      </c>
      <c r="BU48" s="43">
        <v>0</v>
      </c>
      <c r="BV48" s="43">
        <v>0</v>
      </c>
      <c r="BW48" s="43">
        <v>0</v>
      </c>
      <c r="BX48" s="43">
        <v>0</v>
      </c>
      <c r="BY48" s="43">
        <v>0</v>
      </c>
      <c r="BZ48" s="43">
        <v>0</v>
      </c>
      <c r="CA48" s="43">
        <v>0</v>
      </c>
      <c r="CB48" s="43">
        <v>0</v>
      </c>
      <c r="CC48" s="43">
        <v>0</v>
      </c>
      <c r="CD48" s="43">
        <v>0</v>
      </c>
      <c r="CE48" s="43">
        <v>0</v>
      </c>
      <c r="CF48" s="43">
        <v>0</v>
      </c>
      <c r="CG48" s="43">
        <v>0</v>
      </c>
      <c r="CH48" s="43">
        <v>50000</v>
      </c>
      <c r="CI48" s="43">
        <v>0</v>
      </c>
      <c r="CJ48" s="43">
        <v>0</v>
      </c>
      <c r="CK48" s="43">
        <v>50000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0</v>
      </c>
      <c r="CU48" s="43">
        <v>0</v>
      </c>
      <c r="CV48" s="43">
        <v>0</v>
      </c>
      <c r="CW48" s="43">
        <v>0</v>
      </c>
      <c r="CX48" s="43">
        <v>0</v>
      </c>
      <c r="CY48" s="43">
        <v>0</v>
      </c>
      <c r="CZ48" s="43">
        <v>0</v>
      </c>
      <c r="DA48" s="43">
        <v>14973166</v>
      </c>
      <c r="DB48" s="43">
        <v>0</v>
      </c>
      <c r="DC48" s="43">
        <v>0</v>
      </c>
      <c r="DD48" s="43">
        <v>0</v>
      </c>
      <c r="DE48" s="43">
        <v>0</v>
      </c>
      <c r="DF48" s="43">
        <v>5430245.75</v>
      </c>
      <c r="DG48" s="43">
        <v>1059000</v>
      </c>
      <c r="DH48" s="43">
        <v>484150.97</v>
      </c>
      <c r="DI48" s="43">
        <v>18096476.120000001</v>
      </c>
      <c r="DJ48" s="43">
        <v>-10957308.439999999</v>
      </c>
      <c r="DK48" s="43">
        <v>860601.6</v>
      </c>
      <c r="DL48" s="43">
        <v>7296949.5599999987</v>
      </c>
      <c r="DM48" s="43">
        <v>24726528.77</v>
      </c>
      <c r="DN48" s="43">
        <v>0</v>
      </c>
      <c r="DO48" s="43">
        <v>0</v>
      </c>
      <c r="DP48" s="43">
        <v>0</v>
      </c>
      <c r="DQ48" s="43">
        <v>0</v>
      </c>
      <c r="DR48" s="43">
        <v>-17429579.210000001</v>
      </c>
      <c r="DS48" s="43">
        <v>0</v>
      </c>
      <c r="DT48" s="43">
        <v>3907931.56</v>
      </c>
      <c r="DU48" s="43">
        <v>0</v>
      </c>
      <c r="DV48" s="43">
        <v>0</v>
      </c>
      <c r="DW48" s="43">
        <v>3907931.56</v>
      </c>
      <c r="DX48" s="43">
        <v>138635949.71000001</v>
      </c>
      <c r="DY48" s="43">
        <v>0</v>
      </c>
      <c r="DZ48" s="43">
        <v>0</v>
      </c>
      <c r="EA48" s="43">
        <v>0</v>
      </c>
      <c r="EB48" s="43">
        <v>0</v>
      </c>
      <c r="EC48" s="43">
        <v>138635949.71000001</v>
      </c>
      <c r="ED48" s="43">
        <v>0</v>
      </c>
      <c r="EE48" s="43">
        <v>0</v>
      </c>
      <c r="EF48" s="43">
        <v>0</v>
      </c>
    </row>
    <row r="49" spans="1:136" ht="13.5" customHeight="1">
      <c r="A49" s="40" t="s">
        <v>136</v>
      </c>
      <c r="B49" s="41">
        <v>1057</v>
      </c>
      <c r="C49" s="42" t="s">
        <v>415</v>
      </c>
      <c r="D49" s="43">
        <v>3440992594.0400004</v>
      </c>
      <c r="E49" s="43">
        <v>1441460950.73</v>
      </c>
      <c r="F49" s="43">
        <v>0</v>
      </c>
      <c r="G49" s="43">
        <v>0</v>
      </c>
      <c r="H49" s="43">
        <v>1430150828.28</v>
      </c>
      <c r="I49" s="43">
        <v>0</v>
      </c>
      <c r="J49" s="43">
        <v>11310122.449999999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1705630908.8700004</v>
      </c>
      <c r="V49" s="43">
        <v>1705734085.2800004</v>
      </c>
      <c r="W49" s="43">
        <v>-102577.91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18813101.379999999</v>
      </c>
      <c r="AE49" s="43">
        <v>-18813699.879999999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18019146.280000001</v>
      </c>
      <c r="AQ49" s="43">
        <v>0</v>
      </c>
      <c r="AR49" s="43">
        <v>0</v>
      </c>
      <c r="AS49" s="43">
        <v>0</v>
      </c>
      <c r="AT49" s="43">
        <v>18019146.280000001</v>
      </c>
      <c r="AU49" s="43">
        <v>0</v>
      </c>
      <c r="AV49" s="43">
        <v>0</v>
      </c>
      <c r="AW49" s="43">
        <v>0</v>
      </c>
      <c r="AX49" s="43">
        <v>275889180.32999998</v>
      </c>
      <c r="AY49" s="43">
        <v>201320279.41999999</v>
      </c>
      <c r="AZ49" s="43">
        <v>0</v>
      </c>
      <c r="BA49" s="43">
        <v>0</v>
      </c>
      <c r="BB49" s="43">
        <v>74568900.909999996</v>
      </c>
      <c r="BC49" s="43">
        <v>-7592.17</v>
      </c>
      <c r="BD49" s="43">
        <v>0</v>
      </c>
      <c r="BE49" s="43">
        <v>9623.83</v>
      </c>
      <c r="BF49" s="43">
        <v>0</v>
      </c>
      <c r="BG49" s="43">
        <v>-17216</v>
      </c>
      <c r="BH49" s="43">
        <v>0</v>
      </c>
      <c r="BI49" s="43">
        <v>0</v>
      </c>
      <c r="BJ49" s="43">
        <v>0</v>
      </c>
      <c r="BK49" s="43">
        <v>0</v>
      </c>
      <c r="BL49" s="43">
        <v>89340716.450000003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4368945.0200000014</v>
      </c>
      <c r="DB49" s="43">
        <v>0</v>
      </c>
      <c r="DC49" s="43">
        <v>0</v>
      </c>
      <c r="DD49" s="43">
        <v>0</v>
      </c>
      <c r="DE49" s="43">
        <v>2133069.48</v>
      </c>
      <c r="DF49" s="43">
        <v>82450.5</v>
      </c>
      <c r="DG49" s="43">
        <v>3434435.03</v>
      </c>
      <c r="DH49" s="43">
        <v>0</v>
      </c>
      <c r="DI49" s="43">
        <v>3695090.95</v>
      </c>
      <c r="DJ49" s="43">
        <v>-4976100.9399999995</v>
      </c>
      <c r="DK49" s="43">
        <v>0</v>
      </c>
      <c r="DL49" s="43">
        <v>21796296.32</v>
      </c>
      <c r="DM49" s="43">
        <v>0</v>
      </c>
      <c r="DN49" s="43">
        <v>0</v>
      </c>
      <c r="DO49" s="43">
        <v>0</v>
      </c>
      <c r="DP49" s="43">
        <v>0</v>
      </c>
      <c r="DQ49" s="43">
        <v>35666666.710000001</v>
      </c>
      <c r="DR49" s="43">
        <v>-13870370.390000001</v>
      </c>
      <c r="DS49" s="43">
        <v>0</v>
      </c>
      <c r="DT49" s="43">
        <v>0</v>
      </c>
      <c r="DU49" s="43">
        <v>0</v>
      </c>
      <c r="DV49" s="43">
        <v>0</v>
      </c>
      <c r="DW49" s="43">
        <v>0</v>
      </c>
      <c r="DX49" s="43">
        <v>63175475.109999999</v>
      </c>
      <c r="DY49" s="43">
        <v>0</v>
      </c>
      <c r="DZ49" s="43">
        <v>0</v>
      </c>
      <c r="EA49" s="43">
        <v>0</v>
      </c>
      <c r="EB49" s="43">
        <v>0</v>
      </c>
      <c r="EC49" s="43">
        <v>63175475.109999999</v>
      </c>
      <c r="ED49" s="43">
        <v>0</v>
      </c>
      <c r="EE49" s="43">
        <v>0</v>
      </c>
      <c r="EF49" s="43">
        <v>0</v>
      </c>
    </row>
    <row r="50" spans="1:136" ht="13.5" customHeight="1">
      <c r="A50" s="40" t="s">
        <v>139</v>
      </c>
      <c r="B50" s="41">
        <v>1058</v>
      </c>
      <c r="C50" s="42" t="s">
        <v>415</v>
      </c>
      <c r="D50" s="43">
        <v>2094331970.22</v>
      </c>
      <c r="E50" s="43">
        <v>964016782.25</v>
      </c>
      <c r="F50" s="43">
        <v>0</v>
      </c>
      <c r="G50" s="43">
        <v>0</v>
      </c>
      <c r="H50" s="43">
        <v>961776711.35000002</v>
      </c>
      <c r="I50" s="43">
        <v>0</v>
      </c>
      <c r="J50" s="43">
        <v>0</v>
      </c>
      <c r="K50" s="43">
        <v>2240070.9</v>
      </c>
      <c r="L50" s="43">
        <v>68309898.689999998</v>
      </c>
      <c r="M50" s="43">
        <v>0</v>
      </c>
      <c r="N50" s="43">
        <v>0</v>
      </c>
      <c r="O50" s="43">
        <v>68309898.689999998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167721950.10999998</v>
      </c>
      <c r="V50" s="43">
        <v>167721950.10999998</v>
      </c>
      <c r="W50" s="43">
        <v>0</v>
      </c>
      <c r="X50" s="43">
        <v>0</v>
      </c>
      <c r="Y50" s="43">
        <v>0</v>
      </c>
      <c r="Z50" s="43">
        <v>0</v>
      </c>
      <c r="AA50" s="43">
        <v>0</v>
      </c>
      <c r="AB50" s="43">
        <v>0</v>
      </c>
      <c r="AC50" s="43">
        <v>0</v>
      </c>
      <c r="AD50" s="43">
        <v>2783721.36</v>
      </c>
      <c r="AE50" s="43">
        <v>-2783721.36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15150303.85</v>
      </c>
      <c r="AQ50" s="43">
        <v>0</v>
      </c>
      <c r="AR50" s="43">
        <v>0</v>
      </c>
      <c r="AS50" s="43">
        <v>0</v>
      </c>
      <c r="AT50" s="43">
        <v>15150303.85</v>
      </c>
      <c r="AU50" s="43">
        <v>0</v>
      </c>
      <c r="AV50" s="43">
        <v>0</v>
      </c>
      <c r="AW50" s="43">
        <v>0</v>
      </c>
      <c r="AX50" s="43">
        <v>852195684.10000002</v>
      </c>
      <c r="AY50" s="43">
        <v>628721687.85000002</v>
      </c>
      <c r="AZ50" s="43">
        <v>0</v>
      </c>
      <c r="BA50" s="43">
        <v>0</v>
      </c>
      <c r="BB50" s="43">
        <v>223473996.25</v>
      </c>
      <c r="BC50" s="43">
        <v>26937351.219999999</v>
      </c>
      <c r="BD50" s="43">
        <v>0</v>
      </c>
      <c r="BE50" s="43">
        <v>26857490.09</v>
      </c>
      <c r="BF50" s="43">
        <v>0</v>
      </c>
      <c r="BG50" s="43">
        <v>79861.13</v>
      </c>
      <c r="BH50" s="43">
        <v>0</v>
      </c>
      <c r="BI50" s="43">
        <v>0</v>
      </c>
      <c r="BJ50" s="43">
        <v>0</v>
      </c>
      <c r="BK50" s="43">
        <v>0</v>
      </c>
      <c r="BL50" s="43">
        <v>159598090.84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0</v>
      </c>
      <c r="CB50" s="43">
        <v>0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28495313.909999996</v>
      </c>
      <c r="DB50" s="43">
        <v>0</v>
      </c>
      <c r="DC50" s="43">
        <v>0</v>
      </c>
      <c r="DD50" s="43">
        <v>0</v>
      </c>
      <c r="DE50" s="43">
        <v>0</v>
      </c>
      <c r="DF50" s="43">
        <v>7982477.8099999996</v>
      </c>
      <c r="DG50" s="43">
        <v>4486764.5599999996</v>
      </c>
      <c r="DH50" s="43">
        <v>1680085.59</v>
      </c>
      <c r="DI50" s="43">
        <v>0</v>
      </c>
      <c r="DJ50" s="43">
        <v>-6823209.5700000003</v>
      </c>
      <c r="DK50" s="43">
        <v>21169195.52</v>
      </c>
      <c r="DL50" s="43">
        <v>25026709.789999999</v>
      </c>
      <c r="DM50" s="43">
        <v>0</v>
      </c>
      <c r="DN50" s="43">
        <v>0</v>
      </c>
      <c r="DO50" s="43">
        <v>0</v>
      </c>
      <c r="DP50" s="43">
        <v>0</v>
      </c>
      <c r="DQ50" s="43">
        <v>36982510.289999999</v>
      </c>
      <c r="DR50" s="43">
        <v>-11955800.5</v>
      </c>
      <c r="DS50" s="43">
        <v>0</v>
      </c>
      <c r="DT50" s="43">
        <v>102508914.84</v>
      </c>
      <c r="DU50" s="43">
        <v>0</v>
      </c>
      <c r="DV50" s="43">
        <v>0</v>
      </c>
      <c r="DW50" s="43">
        <v>102508914.84</v>
      </c>
      <c r="DX50" s="43">
        <v>3567152.3</v>
      </c>
      <c r="DY50" s="43">
        <v>0</v>
      </c>
      <c r="DZ50" s="43">
        <v>0</v>
      </c>
      <c r="EA50" s="43">
        <v>0</v>
      </c>
      <c r="EB50" s="43">
        <v>0</v>
      </c>
      <c r="EC50" s="43">
        <v>3567152.3</v>
      </c>
      <c r="ED50" s="43">
        <v>0</v>
      </c>
      <c r="EE50" s="43">
        <v>0</v>
      </c>
      <c r="EF50" s="43">
        <v>0</v>
      </c>
    </row>
    <row r="51" spans="1:136" ht="13.5" customHeight="1">
      <c r="A51" s="40" t="s">
        <v>142</v>
      </c>
      <c r="B51" s="41">
        <v>1059</v>
      </c>
      <c r="C51" s="42" t="s">
        <v>415</v>
      </c>
      <c r="D51" s="43">
        <v>1205271158.7153912</v>
      </c>
      <c r="E51" s="43">
        <v>565290640.56539106</v>
      </c>
      <c r="F51" s="43">
        <v>0</v>
      </c>
      <c r="G51" s="43">
        <v>0</v>
      </c>
      <c r="H51" s="43">
        <v>565290640.56539106</v>
      </c>
      <c r="I51" s="43">
        <v>0</v>
      </c>
      <c r="J51" s="43">
        <v>0</v>
      </c>
      <c r="K51" s="43">
        <v>0</v>
      </c>
      <c r="L51" s="43">
        <v>198699679.31999999</v>
      </c>
      <c r="M51" s="43">
        <v>0</v>
      </c>
      <c r="N51" s="43">
        <v>0</v>
      </c>
      <c r="O51" s="43">
        <v>198699679.31999999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147842810.40000001</v>
      </c>
      <c r="V51" s="43">
        <v>147842810.40000001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22073015.760000002</v>
      </c>
      <c r="AE51" s="43">
        <v>-22073015.760000002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402092.34</v>
      </c>
      <c r="AQ51" s="43">
        <v>0</v>
      </c>
      <c r="AR51" s="43">
        <v>0</v>
      </c>
      <c r="AS51" s="43">
        <v>0</v>
      </c>
      <c r="AT51" s="43">
        <v>402092.34</v>
      </c>
      <c r="AU51" s="43">
        <v>0</v>
      </c>
      <c r="AV51" s="43">
        <v>0</v>
      </c>
      <c r="AW51" s="43">
        <v>0</v>
      </c>
      <c r="AX51" s="43">
        <v>268362885.18000001</v>
      </c>
      <c r="AY51" s="43">
        <v>255154330.31999999</v>
      </c>
      <c r="AZ51" s="43">
        <v>0</v>
      </c>
      <c r="BA51" s="43">
        <v>0</v>
      </c>
      <c r="BB51" s="43">
        <v>13208554.859999999</v>
      </c>
      <c r="BC51" s="43">
        <v>24673050.91</v>
      </c>
      <c r="BD51" s="43">
        <v>0</v>
      </c>
      <c r="BE51" s="43">
        <v>24384228.93</v>
      </c>
      <c r="BF51" s="43">
        <v>0</v>
      </c>
      <c r="BG51" s="43">
        <v>10010</v>
      </c>
      <c r="BH51" s="43">
        <v>0</v>
      </c>
      <c r="BI51" s="43">
        <v>0</v>
      </c>
      <c r="BJ51" s="43">
        <v>278811.98</v>
      </c>
      <c r="BK51" s="43">
        <v>0</v>
      </c>
      <c r="BL51" s="43">
        <v>355136771.02999997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365523.46</v>
      </c>
      <c r="CQ51" s="43">
        <v>365523.46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6833609.0299999993</v>
      </c>
      <c r="DB51" s="43">
        <v>0</v>
      </c>
      <c r="DC51" s="43">
        <v>0</v>
      </c>
      <c r="DD51" s="43">
        <v>0</v>
      </c>
      <c r="DE51" s="43">
        <v>0</v>
      </c>
      <c r="DF51" s="43">
        <v>2170832.9300000002</v>
      </c>
      <c r="DG51" s="43">
        <v>0</v>
      </c>
      <c r="DH51" s="43">
        <v>0</v>
      </c>
      <c r="DI51" s="43">
        <v>11365740.52</v>
      </c>
      <c r="DJ51" s="43">
        <v>-6702964.4199999999</v>
      </c>
      <c r="DK51" s="43">
        <v>0</v>
      </c>
      <c r="DL51" s="43">
        <v>224621749.76999998</v>
      </c>
      <c r="DM51" s="43">
        <v>359397101.31999999</v>
      </c>
      <c r="DN51" s="43">
        <v>0</v>
      </c>
      <c r="DO51" s="43">
        <v>0</v>
      </c>
      <c r="DP51" s="43">
        <v>0</v>
      </c>
      <c r="DQ51" s="43">
        <v>0</v>
      </c>
      <c r="DR51" s="43">
        <v>-134775351.55000001</v>
      </c>
      <c r="DS51" s="43">
        <v>0</v>
      </c>
      <c r="DT51" s="43">
        <v>110077806.20999999</v>
      </c>
      <c r="DU51" s="43">
        <v>110077806.20999999</v>
      </c>
      <c r="DV51" s="43">
        <v>0</v>
      </c>
      <c r="DW51" s="43">
        <v>0</v>
      </c>
      <c r="DX51" s="43">
        <v>13238082.560000001</v>
      </c>
      <c r="DY51" s="43">
        <v>0</v>
      </c>
      <c r="DZ51" s="43">
        <v>0</v>
      </c>
      <c r="EA51" s="43">
        <v>0</v>
      </c>
      <c r="EB51" s="43">
        <v>0</v>
      </c>
      <c r="EC51" s="43">
        <v>13238082.560000001</v>
      </c>
      <c r="ED51" s="43">
        <v>0</v>
      </c>
      <c r="EE51" s="43">
        <v>0</v>
      </c>
      <c r="EF51" s="43">
        <v>0</v>
      </c>
    </row>
    <row r="52" spans="1:136" ht="13.5" customHeight="1">
      <c r="A52" s="40" t="s">
        <v>145</v>
      </c>
      <c r="B52" s="41">
        <v>1060</v>
      </c>
      <c r="C52" s="42" t="s">
        <v>415</v>
      </c>
      <c r="D52" s="43">
        <v>992904151.33000004</v>
      </c>
      <c r="E52" s="43">
        <v>39997189</v>
      </c>
      <c r="F52" s="43">
        <v>26225.65</v>
      </c>
      <c r="G52" s="43">
        <v>0</v>
      </c>
      <c r="H52" s="43">
        <v>39970963.350000001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>
        <v>0</v>
      </c>
      <c r="AA52" s="43">
        <v>0</v>
      </c>
      <c r="AB52" s="43">
        <v>0</v>
      </c>
      <c r="AC52" s="43">
        <v>0</v>
      </c>
      <c r="AD52" s="43">
        <v>0</v>
      </c>
      <c r="AE52" s="43">
        <v>0</v>
      </c>
      <c r="AF52" s="43">
        <v>13639209.060000001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13639209.060000001</v>
      </c>
      <c r="AM52" s="43">
        <v>0</v>
      </c>
      <c r="AN52" s="43">
        <v>0</v>
      </c>
      <c r="AO52" s="43">
        <v>0</v>
      </c>
      <c r="AP52" s="43">
        <v>924420407.34000003</v>
      </c>
      <c r="AQ52" s="43">
        <v>0</v>
      </c>
      <c r="AR52" s="43">
        <v>0</v>
      </c>
      <c r="AS52" s="43">
        <v>924420407.34000003</v>
      </c>
      <c r="AT52" s="43">
        <v>0</v>
      </c>
      <c r="AU52" s="43">
        <v>0</v>
      </c>
      <c r="AV52" s="43">
        <v>0</v>
      </c>
      <c r="AW52" s="43">
        <v>0</v>
      </c>
      <c r="AX52" s="43">
        <v>9281921.629999999</v>
      </c>
      <c r="AY52" s="43">
        <v>0</v>
      </c>
      <c r="AZ52" s="43">
        <v>3582495.57</v>
      </c>
      <c r="BA52" s="43">
        <v>0</v>
      </c>
      <c r="BB52" s="43">
        <v>5699426.0599999996</v>
      </c>
      <c r="BC52" s="43">
        <v>5565424.2999999998</v>
      </c>
      <c r="BD52" s="43">
        <v>0</v>
      </c>
      <c r="BE52" s="43">
        <v>5565424.2999999998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20661700</v>
      </c>
      <c r="BM52" s="43">
        <v>0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0</v>
      </c>
      <c r="CA52" s="43">
        <v>0</v>
      </c>
      <c r="CB52" s="43">
        <v>0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15000000</v>
      </c>
      <c r="DB52" s="43">
        <v>0</v>
      </c>
      <c r="DC52" s="43">
        <v>0</v>
      </c>
      <c r="DD52" s="43">
        <v>15000000</v>
      </c>
      <c r="DE52" s="43">
        <v>0</v>
      </c>
      <c r="DF52" s="43">
        <v>0</v>
      </c>
      <c r="DG52" s="43">
        <v>0</v>
      </c>
      <c r="DH52" s="43">
        <v>0</v>
      </c>
      <c r="DI52" s="43">
        <v>0</v>
      </c>
      <c r="DJ52" s="43">
        <v>0</v>
      </c>
      <c r="DK52" s="43">
        <v>0</v>
      </c>
      <c r="DL52" s="43">
        <v>0</v>
      </c>
      <c r="DM52" s="43">
        <v>0</v>
      </c>
      <c r="DN52" s="43">
        <v>0</v>
      </c>
      <c r="DO52" s="43">
        <v>0</v>
      </c>
      <c r="DP52" s="43">
        <v>0</v>
      </c>
      <c r="DQ52" s="43">
        <v>0</v>
      </c>
      <c r="DR52" s="43">
        <v>0</v>
      </c>
      <c r="DS52" s="43">
        <v>0</v>
      </c>
      <c r="DT52" s="43">
        <v>3717017</v>
      </c>
      <c r="DU52" s="43">
        <v>0</v>
      </c>
      <c r="DV52" s="43">
        <v>0</v>
      </c>
      <c r="DW52" s="43">
        <v>3717017</v>
      </c>
      <c r="DX52" s="43">
        <v>1944683</v>
      </c>
      <c r="DY52" s="43">
        <v>0</v>
      </c>
      <c r="DZ52" s="43">
        <v>0</v>
      </c>
      <c r="EA52" s="43">
        <v>0</v>
      </c>
      <c r="EB52" s="43">
        <v>0</v>
      </c>
      <c r="EC52" s="43">
        <v>1944683</v>
      </c>
      <c r="ED52" s="43">
        <v>0</v>
      </c>
      <c r="EE52" s="43">
        <v>0</v>
      </c>
      <c r="EF52" s="43">
        <v>0</v>
      </c>
    </row>
    <row r="53" spans="1:136" ht="13.5" customHeight="1">
      <c r="A53" s="40" t="s">
        <v>148</v>
      </c>
      <c r="B53" s="41">
        <v>1061</v>
      </c>
      <c r="C53" s="42" t="s">
        <v>415</v>
      </c>
      <c r="D53" s="43">
        <v>6985281654.2600021</v>
      </c>
      <c r="E53" s="43">
        <v>4000834084.0300002</v>
      </c>
      <c r="F53" s="43">
        <v>0</v>
      </c>
      <c r="G53" s="43">
        <v>0</v>
      </c>
      <c r="H53" s="43">
        <v>4000834084.0300002</v>
      </c>
      <c r="I53" s="43">
        <v>0</v>
      </c>
      <c r="J53" s="43">
        <v>0</v>
      </c>
      <c r="K53" s="43">
        <v>0</v>
      </c>
      <c r="L53" s="43">
        <v>133165564.38</v>
      </c>
      <c r="M53" s="43">
        <v>0</v>
      </c>
      <c r="N53" s="43">
        <v>0</v>
      </c>
      <c r="O53" s="43">
        <v>133165564.38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1880996145.7800021</v>
      </c>
      <c r="V53" s="43">
        <v>5435929.6500000004</v>
      </c>
      <c r="W53" s="43">
        <v>0</v>
      </c>
      <c r="X53" s="43">
        <v>1875560216.130002</v>
      </c>
      <c r="Y53" s="43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422839.32</v>
      </c>
      <c r="AQ53" s="43">
        <v>0</v>
      </c>
      <c r="AR53" s="43">
        <v>0</v>
      </c>
      <c r="AS53" s="43">
        <v>422839.32</v>
      </c>
      <c r="AT53" s="43">
        <v>0</v>
      </c>
      <c r="AU53" s="43">
        <v>0</v>
      </c>
      <c r="AV53" s="43">
        <v>0</v>
      </c>
      <c r="AW53" s="43">
        <v>0</v>
      </c>
      <c r="AX53" s="43">
        <v>838269921.7299999</v>
      </c>
      <c r="AY53" s="43">
        <v>720821934.52999997</v>
      </c>
      <c r="AZ53" s="43">
        <v>0</v>
      </c>
      <c r="BA53" s="43">
        <v>56298580.770000003</v>
      </c>
      <c r="BB53" s="43">
        <v>61149406.43</v>
      </c>
      <c r="BC53" s="43">
        <v>131593099.02</v>
      </c>
      <c r="BD53" s="43">
        <v>0</v>
      </c>
      <c r="BE53" s="43">
        <v>131593099.02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695324592.43999994</v>
      </c>
      <c r="BM53" s="43">
        <v>0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0</v>
      </c>
      <c r="CB53" s="43">
        <v>0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76047816.840000004</v>
      </c>
      <c r="DB53" s="43">
        <v>0</v>
      </c>
      <c r="DC53" s="43">
        <v>0</v>
      </c>
      <c r="DD53" s="43">
        <v>0</v>
      </c>
      <c r="DE53" s="43">
        <v>0</v>
      </c>
      <c r="DF53" s="43">
        <v>21376200.890000001</v>
      </c>
      <c r="DG53" s="43">
        <v>7008412.4000000004</v>
      </c>
      <c r="DH53" s="43">
        <v>45134682.259999998</v>
      </c>
      <c r="DI53" s="43">
        <v>21470535.850000001</v>
      </c>
      <c r="DJ53" s="43">
        <v>-18942014.560000002</v>
      </c>
      <c r="DK53" s="43">
        <v>0</v>
      </c>
      <c r="DL53" s="43">
        <v>619276775.5999999</v>
      </c>
      <c r="DM53" s="43">
        <v>703336482.53999996</v>
      </c>
      <c r="DN53" s="43">
        <v>0</v>
      </c>
      <c r="DO53" s="43">
        <v>0</v>
      </c>
      <c r="DP53" s="43">
        <v>75938581.789999992</v>
      </c>
      <c r="DQ53" s="43">
        <v>0</v>
      </c>
      <c r="DR53" s="43">
        <v>-159998288.72999999</v>
      </c>
      <c r="DS53" s="43">
        <v>0</v>
      </c>
      <c r="DT53" s="43">
        <v>0</v>
      </c>
      <c r="DU53" s="43">
        <v>0</v>
      </c>
      <c r="DV53" s="43">
        <v>0</v>
      </c>
      <c r="DW53" s="43">
        <v>0</v>
      </c>
      <c r="DX53" s="43">
        <v>0</v>
      </c>
      <c r="DY53" s="43">
        <v>0</v>
      </c>
      <c r="DZ53" s="43">
        <v>0</v>
      </c>
      <c r="EA53" s="43">
        <v>0</v>
      </c>
      <c r="EB53" s="43">
        <v>0</v>
      </c>
      <c r="EC53" s="43">
        <v>0</v>
      </c>
      <c r="ED53" s="43">
        <v>0</v>
      </c>
      <c r="EE53" s="43">
        <v>0</v>
      </c>
      <c r="EF53" s="43">
        <v>0</v>
      </c>
    </row>
    <row r="54" spans="1:136" ht="13.5" customHeight="1">
      <c r="A54" s="40" t="s">
        <v>1</v>
      </c>
      <c r="B54" s="41">
        <v>2001</v>
      </c>
      <c r="C54" s="42" t="s">
        <v>415</v>
      </c>
      <c r="D54" s="43">
        <v>43989426380.070015</v>
      </c>
      <c r="E54" s="43">
        <v>10013938744.399963</v>
      </c>
      <c r="F54" s="43">
        <v>0</v>
      </c>
      <c r="G54" s="43">
        <v>0</v>
      </c>
      <c r="H54" s="43">
        <v>9982260136.509964</v>
      </c>
      <c r="I54" s="43">
        <v>0</v>
      </c>
      <c r="J54" s="43">
        <v>0</v>
      </c>
      <c r="K54" s="43">
        <v>31678607.88999939</v>
      </c>
      <c r="L54" s="43">
        <v>19682615221.350044</v>
      </c>
      <c r="M54" s="43">
        <v>4511005269.1300068</v>
      </c>
      <c r="N54" s="43">
        <v>0</v>
      </c>
      <c r="O54" s="43">
        <v>13626919416.060005</v>
      </c>
      <c r="P54" s="43">
        <v>1544690536.1600342</v>
      </c>
      <c r="Q54" s="43">
        <v>0</v>
      </c>
      <c r="R54" s="43">
        <v>0</v>
      </c>
      <c r="S54" s="43">
        <v>0</v>
      </c>
      <c r="T54" s="43">
        <v>0</v>
      </c>
      <c r="U54" s="43">
        <v>10310081354.060003</v>
      </c>
      <c r="V54" s="43">
        <v>8349144086.6900091</v>
      </c>
      <c r="W54" s="43">
        <v>-3271422.9800000023</v>
      </c>
      <c r="X54" s="43">
        <v>1964208690.359993</v>
      </c>
      <c r="Y54" s="43">
        <v>0</v>
      </c>
      <c r="Z54" s="43">
        <v>0</v>
      </c>
      <c r="AA54" s="43">
        <v>-1.0000000009313226E-2</v>
      </c>
      <c r="AB54" s="43">
        <v>0</v>
      </c>
      <c r="AC54" s="43">
        <v>0</v>
      </c>
      <c r="AD54" s="43">
        <v>7300259.3200000012</v>
      </c>
      <c r="AE54" s="43">
        <v>-7300259.3200000012</v>
      </c>
      <c r="AF54" s="43">
        <v>1333294.2200000286</v>
      </c>
      <c r="AG54" s="43">
        <v>0</v>
      </c>
      <c r="AH54" s="43">
        <v>0</v>
      </c>
      <c r="AI54" s="43">
        <v>828036.75</v>
      </c>
      <c r="AJ54" s="43">
        <v>0</v>
      </c>
      <c r="AK54" s="43">
        <v>0</v>
      </c>
      <c r="AL54" s="43">
        <v>505257.47000002861</v>
      </c>
      <c r="AM54" s="43">
        <v>0</v>
      </c>
      <c r="AN54" s="43">
        <v>0</v>
      </c>
      <c r="AO54" s="43">
        <v>0</v>
      </c>
      <c r="AP54" s="43">
        <v>3377339.4300003052</v>
      </c>
      <c r="AQ54" s="43">
        <v>0</v>
      </c>
      <c r="AR54" s="43">
        <v>0</v>
      </c>
      <c r="AS54" s="43">
        <v>0</v>
      </c>
      <c r="AT54" s="43">
        <v>3377339.4300003052</v>
      </c>
      <c r="AU54" s="43">
        <v>0</v>
      </c>
      <c r="AV54" s="43">
        <v>0</v>
      </c>
      <c r="AW54" s="43">
        <v>0</v>
      </c>
      <c r="AX54" s="43">
        <v>3279425181.8099995</v>
      </c>
      <c r="AY54" s="43">
        <v>2066609310.5299988</v>
      </c>
      <c r="AZ54" s="43">
        <v>0</v>
      </c>
      <c r="BA54" s="43">
        <v>902279531.86000061</v>
      </c>
      <c r="BB54" s="43">
        <v>310536339.42000008</v>
      </c>
      <c r="BC54" s="43">
        <v>698655244.79999971</v>
      </c>
      <c r="BD54" s="43">
        <v>0</v>
      </c>
      <c r="BE54" s="43">
        <v>0</v>
      </c>
      <c r="BF54" s="43">
        <v>0</v>
      </c>
      <c r="BG54" s="43">
        <v>696642628.69999981</v>
      </c>
      <c r="BH54" s="43">
        <v>2003533.9100000039</v>
      </c>
      <c r="BI54" s="43">
        <v>0</v>
      </c>
      <c r="BJ54" s="43">
        <v>9082.1899999976158</v>
      </c>
      <c r="BK54" s="43">
        <v>0</v>
      </c>
      <c r="BL54" s="43">
        <v>2429373379.840004</v>
      </c>
      <c r="BM54" s="43">
        <v>0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69451.06</v>
      </c>
      <c r="CI54" s="43">
        <v>0</v>
      </c>
      <c r="CJ54" s="43">
        <v>0</v>
      </c>
      <c r="CK54" s="43">
        <v>69451.06</v>
      </c>
      <c r="CL54" s="43">
        <v>0</v>
      </c>
      <c r="CM54" s="43">
        <v>0</v>
      </c>
      <c r="CN54" s="43">
        <v>0</v>
      </c>
      <c r="CO54" s="43">
        <v>0</v>
      </c>
      <c r="CP54" s="43">
        <v>299486000</v>
      </c>
      <c r="CQ54" s="43">
        <v>0</v>
      </c>
      <c r="CR54" s="43">
        <v>0</v>
      </c>
      <c r="CS54" s="43">
        <v>0</v>
      </c>
      <c r="CT54" s="43">
        <v>299486000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245749017.34000003</v>
      </c>
      <c r="DB54" s="43">
        <v>9180000</v>
      </c>
      <c r="DC54" s="43">
        <v>0</v>
      </c>
      <c r="DD54" s="43">
        <v>0</v>
      </c>
      <c r="DE54" s="43">
        <v>0</v>
      </c>
      <c r="DF54" s="43">
        <v>107769258.46000004</v>
      </c>
      <c r="DG54" s="43">
        <v>166519425.93000007</v>
      </c>
      <c r="DH54" s="43">
        <v>68917985.769999981</v>
      </c>
      <c r="DI54" s="43">
        <v>39743871.179999977</v>
      </c>
      <c r="DJ54" s="43">
        <v>-146381524</v>
      </c>
      <c r="DK54" s="43">
        <v>0</v>
      </c>
      <c r="DL54" s="43">
        <v>244020581.10000008</v>
      </c>
      <c r="DM54" s="43">
        <v>92840538.7700001</v>
      </c>
      <c r="DN54" s="43">
        <v>0</v>
      </c>
      <c r="DO54" s="43">
        <v>0</v>
      </c>
      <c r="DP54" s="43">
        <v>215085969.60000002</v>
      </c>
      <c r="DQ54" s="43">
        <v>0</v>
      </c>
      <c r="DR54" s="43">
        <v>-63905927.270000041</v>
      </c>
      <c r="DS54" s="43">
        <v>0</v>
      </c>
      <c r="DT54" s="43">
        <v>567039000</v>
      </c>
      <c r="DU54" s="43">
        <v>0</v>
      </c>
      <c r="DV54" s="43">
        <v>0</v>
      </c>
      <c r="DW54" s="43">
        <v>567039000</v>
      </c>
      <c r="DX54" s="43">
        <v>1073009330.340004</v>
      </c>
      <c r="DY54" s="43">
        <v>0</v>
      </c>
      <c r="DZ54" s="43">
        <v>0</v>
      </c>
      <c r="EA54" s="43">
        <v>0</v>
      </c>
      <c r="EB54" s="43">
        <v>0</v>
      </c>
      <c r="EC54" s="43">
        <v>1073009330.340004</v>
      </c>
      <c r="ED54" s="43">
        <v>0</v>
      </c>
      <c r="EE54" s="43">
        <v>0</v>
      </c>
      <c r="EF54" s="43">
        <v>0</v>
      </c>
    </row>
    <row r="55" spans="1:136" ht="13.5" customHeight="1">
      <c r="A55" s="40" t="s">
        <v>153</v>
      </c>
      <c r="B55" s="41">
        <v>2002</v>
      </c>
      <c r="C55" s="42" t="s">
        <v>416</v>
      </c>
      <c r="D55" s="43">
        <v>3837391984.8700037</v>
      </c>
      <c r="E55" s="43">
        <v>1962920512.7000041</v>
      </c>
      <c r="F55" s="43">
        <v>0</v>
      </c>
      <c r="G55" s="43">
        <v>0</v>
      </c>
      <c r="H55" s="43">
        <v>1962920512.7000041</v>
      </c>
      <c r="I55" s="43">
        <v>0</v>
      </c>
      <c r="J55" s="43">
        <v>0</v>
      </c>
      <c r="K55" s="43">
        <v>0</v>
      </c>
      <c r="L55" s="43">
        <v>1079762230.3299999</v>
      </c>
      <c r="M55" s="43">
        <v>0</v>
      </c>
      <c r="N55" s="43">
        <v>0</v>
      </c>
      <c r="O55" s="43">
        <v>1079762230.3299999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212644633.72000009</v>
      </c>
      <c r="V55" s="43">
        <v>7940377.280000031</v>
      </c>
      <c r="W55" s="43">
        <v>0</v>
      </c>
      <c r="X55" s="43">
        <v>204704256.44000006</v>
      </c>
      <c r="Y55" s="43">
        <v>0</v>
      </c>
      <c r="Z55" s="43">
        <v>0</v>
      </c>
      <c r="AA55" s="43">
        <v>0</v>
      </c>
      <c r="AB55" s="43">
        <v>0</v>
      </c>
      <c r="AC55" s="43">
        <v>0</v>
      </c>
      <c r="AD55" s="43">
        <v>0</v>
      </c>
      <c r="AE55" s="43">
        <v>0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</v>
      </c>
      <c r="AW55" s="43">
        <v>0</v>
      </c>
      <c r="AX55" s="43">
        <v>582049608.12999964</v>
      </c>
      <c r="AY55" s="43">
        <v>558718710.1699996</v>
      </c>
      <c r="AZ55" s="43">
        <v>0</v>
      </c>
      <c r="BA55" s="43">
        <v>0</v>
      </c>
      <c r="BB55" s="43">
        <v>23330897.960000001</v>
      </c>
      <c r="BC55" s="43">
        <v>14999.990000000224</v>
      </c>
      <c r="BD55" s="43">
        <v>0</v>
      </c>
      <c r="BE55" s="43">
        <v>0</v>
      </c>
      <c r="BF55" s="43">
        <v>0</v>
      </c>
      <c r="BG55" s="43">
        <v>15000</v>
      </c>
      <c r="BH55" s="43">
        <v>0</v>
      </c>
      <c r="BI55" s="43">
        <v>0</v>
      </c>
      <c r="BJ55" s="43">
        <v>-9.9999997764825821E-3</v>
      </c>
      <c r="BK55" s="43">
        <v>0</v>
      </c>
      <c r="BL55" s="43">
        <v>157017539.54000002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202</v>
      </c>
      <c r="CI55" s="43">
        <v>0</v>
      </c>
      <c r="CJ55" s="43">
        <v>0</v>
      </c>
      <c r="CK55" s="43">
        <v>202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26704436.779999994</v>
      </c>
      <c r="DB55" s="43">
        <v>0</v>
      </c>
      <c r="DC55" s="43">
        <v>0</v>
      </c>
      <c r="DD55" s="43">
        <v>0</v>
      </c>
      <c r="DE55" s="43">
        <v>0</v>
      </c>
      <c r="DF55" s="43">
        <v>33750159.93</v>
      </c>
      <c r="DG55" s="43">
        <v>0</v>
      </c>
      <c r="DH55" s="43">
        <v>2025519.39</v>
      </c>
      <c r="DI55" s="43">
        <v>32246809.5</v>
      </c>
      <c r="DJ55" s="43">
        <v>-41318052.039999999</v>
      </c>
      <c r="DK55" s="43">
        <v>0</v>
      </c>
      <c r="DL55" s="43">
        <v>80064649.650000006</v>
      </c>
      <c r="DM55" s="43">
        <v>128356793.90000001</v>
      </c>
      <c r="DN55" s="43">
        <v>0</v>
      </c>
      <c r="DO55" s="43">
        <v>0</v>
      </c>
      <c r="DP55" s="43">
        <v>0</v>
      </c>
      <c r="DQ55" s="43">
        <v>0</v>
      </c>
      <c r="DR55" s="43">
        <v>-48292144.249999993</v>
      </c>
      <c r="DS55" s="43">
        <v>0</v>
      </c>
      <c r="DT55" s="43">
        <v>95479.62000000001</v>
      </c>
      <c r="DU55" s="43">
        <v>0</v>
      </c>
      <c r="DV55" s="43">
        <v>0</v>
      </c>
      <c r="DW55" s="43">
        <v>95479.62000000001</v>
      </c>
      <c r="DX55" s="43">
        <v>50152771.49000001</v>
      </c>
      <c r="DY55" s="43">
        <v>0</v>
      </c>
      <c r="DZ55" s="43">
        <v>0</v>
      </c>
      <c r="EA55" s="43">
        <v>0</v>
      </c>
      <c r="EB55" s="43">
        <v>0</v>
      </c>
      <c r="EC55" s="43">
        <v>50152771.49000001</v>
      </c>
      <c r="ED55" s="43">
        <v>0</v>
      </c>
      <c r="EE55" s="43">
        <v>0</v>
      </c>
      <c r="EF55" s="43">
        <v>0</v>
      </c>
    </row>
    <row r="56" spans="1:136" ht="13.5" customHeight="1">
      <c r="A56" s="40" t="s">
        <v>4</v>
      </c>
      <c r="B56" s="41">
        <v>2005</v>
      </c>
      <c r="C56" s="42" t="s">
        <v>416</v>
      </c>
      <c r="D56" s="43">
        <v>1994561148.75</v>
      </c>
      <c r="E56" s="43">
        <v>666951068.97000003</v>
      </c>
      <c r="F56" s="43">
        <v>0</v>
      </c>
      <c r="G56" s="43">
        <v>0</v>
      </c>
      <c r="H56" s="43">
        <v>600678552.65999997</v>
      </c>
      <c r="I56" s="43">
        <v>0</v>
      </c>
      <c r="J56" s="43">
        <v>66272516.310000002</v>
      </c>
      <c r="K56" s="43">
        <v>0</v>
      </c>
      <c r="L56" s="43">
        <v>294126940.49000001</v>
      </c>
      <c r="M56" s="43">
        <v>0</v>
      </c>
      <c r="N56" s="43">
        <v>0</v>
      </c>
      <c r="O56" s="43">
        <v>252868714.03999999</v>
      </c>
      <c r="P56" s="43">
        <v>0</v>
      </c>
      <c r="Q56" s="43">
        <v>0</v>
      </c>
      <c r="R56" s="43">
        <v>41258226.449999996</v>
      </c>
      <c r="S56" s="43">
        <v>0</v>
      </c>
      <c r="T56" s="43">
        <v>0</v>
      </c>
      <c r="U56" s="43">
        <v>804340103.45999992</v>
      </c>
      <c r="V56" s="43">
        <v>804264197.11000001</v>
      </c>
      <c r="W56" s="43">
        <v>0</v>
      </c>
      <c r="X56" s="43">
        <v>17253.560000000001</v>
      </c>
      <c r="Y56" s="43">
        <v>0</v>
      </c>
      <c r="Z56" s="43">
        <v>0</v>
      </c>
      <c r="AA56" s="43">
        <v>58652.79</v>
      </c>
      <c r="AB56" s="43">
        <v>0</v>
      </c>
      <c r="AC56" s="43">
        <v>0</v>
      </c>
      <c r="AD56" s="43">
        <v>3962595.96</v>
      </c>
      <c r="AE56" s="43">
        <v>-3962595.96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6831428.4900000002</v>
      </c>
      <c r="AQ56" s="43">
        <v>0</v>
      </c>
      <c r="AR56" s="43">
        <v>0</v>
      </c>
      <c r="AS56" s="43">
        <v>4288935.7300000004</v>
      </c>
      <c r="AT56" s="43">
        <v>2542492.7599999998</v>
      </c>
      <c r="AU56" s="43">
        <v>0</v>
      </c>
      <c r="AV56" s="43">
        <v>0</v>
      </c>
      <c r="AW56" s="43">
        <v>0</v>
      </c>
      <c r="AX56" s="43">
        <v>221858753.77000001</v>
      </c>
      <c r="AY56" s="43">
        <v>210513076.77000001</v>
      </c>
      <c r="AZ56" s="43">
        <v>0</v>
      </c>
      <c r="BA56" s="43">
        <v>0</v>
      </c>
      <c r="BB56" s="43">
        <v>11345677</v>
      </c>
      <c r="BC56" s="43">
        <v>452853.57</v>
      </c>
      <c r="BD56" s="43">
        <v>0</v>
      </c>
      <c r="BE56" s="43">
        <v>0</v>
      </c>
      <c r="BF56" s="43">
        <v>0</v>
      </c>
      <c r="BG56" s="43">
        <v>12853.57</v>
      </c>
      <c r="BH56" s="43">
        <v>440000</v>
      </c>
      <c r="BI56" s="43">
        <v>0</v>
      </c>
      <c r="BJ56" s="43">
        <v>0</v>
      </c>
      <c r="BK56" s="43">
        <v>0</v>
      </c>
      <c r="BL56" s="43">
        <v>64827222.450000003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0</v>
      </c>
      <c r="CB56" s="43">
        <v>0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16095744.650000002</v>
      </c>
      <c r="DB56" s="43">
        <v>0</v>
      </c>
      <c r="DC56" s="43">
        <v>0</v>
      </c>
      <c r="DD56" s="43">
        <v>0</v>
      </c>
      <c r="DE56" s="43">
        <v>0</v>
      </c>
      <c r="DF56" s="43">
        <v>7372737.9500000002</v>
      </c>
      <c r="DG56" s="43">
        <v>0</v>
      </c>
      <c r="DH56" s="43">
        <v>1005102.94</v>
      </c>
      <c r="DI56" s="43">
        <v>25501361.710000001</v>
      </c>
      <c r="DJ56" s="43">
        <v>-17783457.949999999</v>
      </c>
      <c r="DK56" s="43">
        <v>0</v>
      </c>
      <c r="DL56" s="43">
        <v>16728254.249999998</v>
      </c>
      <c r="DM56" s="43">
        <v>28912516.879999999</v>
      </c>
      <c r="DN56" s="43">
        <v>0</v>
      </c>
      <c r="DO56" s="43">
        <v>0</v>
      </c>
      <c r="DP56" s="43">
        <v>0</v>
      </c>
      <c r="DQ56" s="43">
        <v>0</v>
      </c>
      <c r="DR56" s="43">
        <v>-12184262.630000001</v>
      </c>
      <c r="DS56" s="43">
        <v>0</v>
      </c>
      <c r="DT56" s="43">
        <v>0</v>
      </c>
      <c r="DU56" s="43">
        <v>0</v>
      </c>
      <c r="DV56" s="43">
        <v>0</v>
      </c>
      <c r="DW56" s="43">
        <v>0</v>
      </c>
      <c r="DX56" s="43">
        <v>32003223.550000001</v>
      </c>
      <c r="DY56" s="43">
        <v>0</v>
      </c>
      <c r="DZ56" s="43">
        <v>0</v>
      </c>
      <c r="EA56" s="43">
        <v>0</v>
      </c>
      <c r="EB56" s="43">
        <v>0</v>
      </c>
      <c r="EC56" s="43">
        <v>32003223.550000001</v>
      </c>
      <c r="ED56" s="43">
        <v>0</v>
      </c>
      <c r="EE56" s="43">
        <v>0</v>
      </c>
      <c r="EF56" s="43">
        <v>0</v>
      </c>
    </row>
    <row r="57" spans="1:136" ht="13.5" customHeight="1">
      <c r="A57" s="40" t="s">
        <v>11</v>
      </c>
      <c r="B57" s="41">
        <v>2006</v>
      </c>
      <c r="C57" s="42" t="s">
        <v>417</v>
      </c>
      <c r="D57" s="43">
        <v>2468855232.1099997</v>
      </c>
      <c r="E57" s="43">
        <v>694150103.49000001</v>
      </c>
      <c r="F57" s="43">
        <v>0</v>
      </c>
      <c r="G57" s="43">
        <v>0</v>
      </c>
      <c r="H57" s="43">
        <v>364206839.23000002</v>
      </c>
      <c r="I57" s="43">
        <v>0</v>
      </c>
      <c r="J57" s="43">
        <v>329943264.25999999</v>
      </c>
      <c r="K57" s="43">
        <v>0</v>
      </c>
      <c r="L57" s="43">
        <v>1114490035.79</v>
      </c>
      <c r="M57" s="43">
        <v>273162067.88999999</v>
      </c>
      <c r="N57" s="43">
        <v>0</v>
      </c>
      <c r="O57" s="43">
        <v>0</v>
      </c>
      <c r="P57" s="43">
        <v>0</v>
      </c>
      <c r="Q57" s="43">
        <v>0</v>
      </c>
      <c r="R57" s="43">
        <v>841327967.9000001</v>
      </c>
      <c r="S57" s="43">
        <v>0</v>
      </c>
      <c r="T57" s="43">
        <v>0</v>
      </c>
      <c r="U57" s="43">
        <v>374597969.16999996</v>
      </c>
      <c r="V57" s="43">
        <v>321830937.67999995</v>
      </c>
      <c r="W57" s="43">
        <v>-10650837.880000001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63417869.36999999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139596240.27000001</v>
      </c>
      <c r="AQ57" s="43">
        <v>0</v>
      </c>
      <c r="AR57" s="43">
        <v>0</v>
      </c>
      <c r="AS57" s="43">
        <v>0</v>
      </c>
      <c r="AT57" s="43">
        <v>139596240.27000001</v>
      </c>
      <c r="AU57" s="43">
        <v>0</v>
      </c>
      <c r="AV57" s="43">
        <v>5448931.1699999999</v>
      </c>
      <c r="AW57" s="43">
        <v>-5448931.1699999999</v>
      </c>
      <c r="AX57" s="43">
        <v>108626415.64999999</v>
      </c>
      <c r="AY57" s="43">
        <v>73964213.629999995</v>
      </c>
      <c r="AZ57" s="43">
        <v>0</v>
      </c>
      <c r="BA57" s="43">
        <v>633750</v>
      </c>
      <c r="BB57" s="43">
        <v>34028452.019999996</v>
      </c>
      <c r="BC57" s="43">
        <v>37394467.740000002</v>
      </c>
      <c r="BD57" s="43">
        <v>0</v>
      </c>
      <c r="BE57" s="43">
        <v>30030467.75</v>
      </c>
      <c r="BF57" s="43">
        <v>0</v>
      </c>
      <c r="BG57" s="43">
        <v>7146311.1299999999</v>
      </c>
      <c r="BH57" s="43">
        <v>129419.51</v>
      </c>
      <c r="BI57" s="43">
        <v>0</v>
      </c>
      <c r="BJ57" s="43">
        <v>88269.35</v>
      </c>
      <c r="BK57" s="43">
        <v>0</v>
      </c>
      <c r="BL57" s="43">
        <v>49615659891.620018</v>
      </c>
      <c r="BM57" s="43">
        <v>47531848562.910011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47531848562.910011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</v>
      </c>
      <c r="CB57" s="43">
        <v>0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583200442.04999995</v>
      </c>
      <c r="CI57" s="43">
        <v>0</v>
      </c>
      <c r="CJ57" s="43">
        <v>0</v>
      </c>
      <c r="CK57" s="43">
        <v>583200442.04999995</v>
      </c>
      <c r="CL57" s="43">
        <v>0</v>
      </c>
      <c r="CM57" s="43">
        <v>0</v>
      </c>
      <c r="CN57" s="43">
        <v>540803.77</v>
      </c>
      <c r="CO57" s="43">
        <v>-540803.77</v>
      </c>
      <c r="CP57" s="43">
        <v>12044085.1</v>
      </c>
      <c r="CQ57" s="43">
        <v>0</v>
      </c>
      <c r="CR57" s="43">
        <v>12044085.1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20235420.75</v>
      </c>
      <c r="DB57" s="43">
        <v>0</v>
      </c>
      <c r="DC57" s="43">
        <v>0</v>
      </c>
      <c r="DD57" s="43">
        <v>0</v>
      </c>
      <c r="DE57" s="43">
        <v>1734524.52</v>
      </c>
      <c r="DF57" s="43">
        <v>10097907.09</v>
      </c>
      <c r="DG57" s="43">
        <v>10756684.59</v>
      </c>
      <c r="DH57" s="43">
        <v>1730452.8</v>
      </c>
      <c r="DI57" s="43">
        <v>4895100.25</v>
      </c>
      <c r="DJ57" s="43">
        <v>-8979248.5</v>
      </c>
      <c r="DK57" s="43">
        <v>0</v>
      </c>
      <c r="DL57" s="43">
        <v>1270867840.8</v>
      </c>
      <c r="DM57" s="43">
        <v>159067717.47999999</v>
      </c>
      <c r="DN57" s="43">
        <v>219018630.69</v>
      </c>
      <c r="DO57" s="43">
        <v>0</v>
      </c>
      <c r="DP57" s="43">
        <v>0</v>
      </c>
      <c r="DQ57" s="43">
        <v>330651595.07999998</v>
      </c>
      <c r="DR57" s="43">
        <v>-88032102.450000003</v>
      </c>
      <c r="DS57" s="43">
        <v>650162000</v>
      </c>
      <c r="DT57" s="43">
        <v>0</v>
      </c>
      <c r="DU57" s="43">
        <v>0</v>
      </c>
      <c r="DV57" s="43">
        <v>0</v>
      </c>
      <c r="DW57" s="43">
        <v>0</v>
      </c>
      <c r="DX57" s="43">
        <v>197463540.00999999</v>
      </c>
      <c r="DY57" s="43">
        <v>0</v>
      </c>
      <c r="DZ57" s="43">
        <v>0</v>
      </c>
      <c r="EA57" s="43">
        <v>0</v>
      </c>
      <c r="EB57" s="43">
        <v>0</v>
      </c>
      <c r="EC57" s="43">
        <v>197463540.00999999</v>
      </c>
      <c r="ED57" s="43">
        <v>0</v>
      </c>
      <c r="EE57" s="43">
        <v>0</v>
      </c>
      <c r="EF57" s="43">
        <v>0</v>
      </c>
    </row>
    <row r="58" spans="1:136" ht="13.5" customHeight="1">
      <c r="A58" s="40" t="s">
        <v>160</v>
      </c>
      <c r="B58" s="41">
        <v>2007</v>
      </c>
      <c r="C58" s="42" t="s">
        <v>416</v>
      </c>
      <c r="D58" s="43">
        <v>1785721453.440001</v>
      </c>
      <c r="E58" s="43">
        <v>1131792866.0300012</v>
      </c>
      <c r="F58" s="43">
        <v>0</v>
      </c>
      <c r="G58" s="43">
        <v>0</v>
      </c>
      <c r="H58" s="43">
        <v>1131557809.6300011</v>
      </c>
      <c r="I58" s="43">
        <v>0</v>
      </c>
      <c r="J58" s="43">
        <v>235056.4</v>
      </c>
      <c r="K58" s="43">
        <v>0</v>
      </c>
      <c r="L58" s="43">
        <v>482351607.57999998</v>
      </c>
      <c r="M58" s="43">
        <v>71083000</v>
      </c>
      <c r="N58" s="43">
        <v>101706916.14999999</v>
      </c>
      <c r="O58" s="43">
        <v>309561691.43000001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87778727.099999994</v>
      </c>
      <c r="V58" s="43">
        <v>87778727.099999994</v>
      </c>
      <c r="W58" s="43">
        <v>0</v>
      </c>
      <c r="X58" s="43">
        <v>0</v>
      </c>
      <c r="Y58" s="43">
        <v>0</v>
      </c>
      <c r="Z58" s="43">
        <v>0</v>
      </c>
      <c r="AA58" s="43">
        <v>0</v>
      </c>
      <c r="AB58" s="43">
        <v>0</v>
      </c>
      <c r="AC58" s="43">
        <v>0</v>
      </c>
      <c r="AD58" s="43">
        <v>0</v>
      </c>
      <c r="AE58" s="43">
        <v>0</v>
      </c>
      <c r="AF58" s="43">
        <v>-97253.05</v>
      </c>
      <c r="AG58" s="43">
        <v>0</v>
      </c>
      <c r="AH58" s="43">
        <v>0</v>
      </c>
      <c r="AI58" s="43">
        <v>0</v>
      </c>
      <c r="AJ58" s="43">
        <v>124934.45</v>
      </c>
      <c r="AK58" s="43">
        <v>-222187.5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74724432.920000002</v>
      </c>
      <c r="AY58" s="43">
        <v>66891882.350000001</v>
      </c>
      <c r="AZ58" s="43">
        <v>0</v>
      </c>
      <c r="BA58" s="43">
        <v>0</v>
      </c>
      <c r="BB58" s="43">
        <v>7832550.5699999994</v>
      </c>
      <c r="BC58" s="43">
        <v>9171072.8600000013</v>
      </c>
      <c r="BD58" s="43">
        <v>0</v>
      </c>
      <c r="BE58" s="43">
        <v>9064760.3800000008</v>
      </c>
      <c r="BF58" s="43">
        <v>0</v>
      </c>
      <c r="BG58" s="43">
        <v>0</v>
      </c>
      <c r="BH58" s="43">
        <v>106312.48</v>
      </c>
      <c r="BI58" s="43">
        <v>0</v>
      </c>
      <c r="BJ58" s="43">
        <v>0</v>
      </c>
      <c r="BK58" s="43">
        <v>0</v>
      </c>
      <c r="BL58" s="43">
        <v>26731702.229999997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</v>
      </c>
      <c r="CB58" s="43">
        <v>0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17832142.959999997</v>
      </c>
      <c r="DB58" s="43">
        <v>0</v>
      </c>
      <c r="DC58" s="43">
        <v>0</v>
      </c>
      <c r="DD58" s="43">
        <v>0</v>
      </c>
      <c r="DE58" s="43">
        <v>0</v>
      </c>
      <c r="DF58" s="43">
        <v>8251407.7400000002</v>
      </c>
      <c r="DG58" s="43">
        <v>4833333.33</v>
      </c>
      <c r="DH58" s="43">
        <v>8354332.5899999999</v>
      </c>
      <c r="DI58" s="43">
        <v>15146507.890000001</v>
      </c>
      <c r="DJ58" s="43">
        <v>-18753438.59</v>
      </c>
      <c r="DK58" s="43">
        <v>0</v>
      </c>
      <c r="DL58" s="43">
        <v>2785861.74</v>
      </c>
      <c r="DM58" s="43">
        <v>15144336.859999999</v>
      </c>
      <c r="DN58" s="43">
        <v>0</v>
      </c>
      <c r="DO58" s="43">
        <v>0</v>
      </c>
      <c r="DP58" s="43">
        <v>0</v>
      </c>
      <c r="DQ58" s="43">
        <v>0</v>
      </c>
      <c r="DR58" s="43">
        <v>-12358475.119999999</v>
      </c>
      <c r="DS58" s="43">
        <v>0</v>
      </c>
      <c r="DT58" s="43">
        <v>0</v>
      </c>
      <c r="DU58" s="43">
        <v>0</v>
      </c>
      <c r="DV58" s="43">
        <v>0</v>
      </c>
      <c r="DW58" s="43">
        <v>0</v>
      </c>
      <c r="DX58" s="43">
        <v>6113697.5300000003</v>
      </c>
      <c r="DY58" s="43">
        <v>0</v>
      </c>
      <c r="DZ58" s="43">
        <v>0</v>
      </c>
      <c r="EA58" s="43">
        <v>0</v>
      </c>
      <c r="EB58" s="43">
        <v>0</v>
      </c>
      <c r="EC58" s="43">
        <v>6113697.5300000003</v>
      </c>
      <c r="ED58" s="43">
        <v>0</v>
      </c>
      <c r="EE58" s="43">
        <v>0</v>
      </c>
      <c r="EF58" s="43">
        <v>0</v>
      </c>
    </row>
    <row r="59" spans="1:136" ht="13.5" customHeight="1">
      <c r="A59" s="40" t="s">
        <v>163</v>
      </c>
      <c r="B59" s="41">
        <v>2008</v>
      </c>
      <c r="C59" s="42" t="s">
        <v>416</v>
      </c>
      <c r="D59" s="43">
        <v>630988212.29999983</v>
      </c>
      <c r="E59" s="43">
        <v>594066075.17999995</v>
      </c>
      <c r="F59" s="43">
        <v>0</v>
      </c>
      <c r="G59" s="43">
        <v>0</v>
      </c>
      <c r="H59" s="43">
        <v>571931218.52999997</v>
      </c>
      <c r="I59" s="43">
        <v>0</v>
      </c>
      <c r="J59" s="43">
        <v>22134856.649999999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168430.15</v>
      </c>
      <c r="V59" s="43">
        <v>168430.15</v>
      </c>
      <c r="W59" s="43">
        <v>0</v>
      </c>
      <c r="X59" s="43">
        <v>0</v>
      </c>
      <c r="Y59" s="43">
        <v>0</v>
      </c>
      <c r="Z59" s="43">
        <v>0</v>
      </c>
      <c r="AA59" s="43">
        <v>0</v>
      </c>
      <c r="AB59" s="43">
        <v>0</v>
      </c>
      <c r="AC59" s="43">
        <v>0</v>
      </c>
      <c r="AD59" s="43">
        <v>0</v>
      </c>
      <c r="AE59" s="43">
        <v>0</v>
      </c>
      <c r="AF59" s="43">
        <v>0</v>
      </c>
      <c r="AG59" s="43">
        <v>0</v>
      </c>
      <c r="AH59" s="43">
        <v>0</v>
      </c>
      <c r="AI59" s="43">
        <v>0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9903183.1799999997</v>
      </c>
      <c r="AY59" s="43">
        <v>5994868.2300000004</v>
      </c>
      <c r="AZ59" s="43">
        <v>0</v>
      </c>
      <c r="BA59" s="43">
        <v>0</v>
      </c>
      <c r="BB59" s="43">
        <v>3908314.95</v>
      </c>
      <c r="BC59" s="43">
        <v>26850523.789999999</v>
      </c>
      <c r="BD59" s="43">
        <v>0</v>
      </c>
      <c r="BE59" s="43">
        <v>16682127.300000001</v>
      </c>
      <c r="BF59" s="43">
        <v>0</v>
      </c>
      <c r="BG59" s="43">
        <v>16666.7</v>
      </c>
      <c r="BH59" s="43">
        <v>10145000</v>
      </c>
      <c r="BI59" s="43">
        <v>0</v>
      </c>
      <c r="BJ59" s="43">
        <v>6729.79</v>
      </c>
      <c r="BK59" s="43">
        <v>0</v>
      </c>
      <c r="BL59" s="43">
        <v>35133816.780000001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0</v>
      </c>
      <c r="CA59" s="43">
        <v>0</v>
      </c>
      <c r="CB59" s="43">
        <v>0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9182653.6400000006</v>
      </c>
      <c r="DB59" s="43">
        <v>0</v>
      </c>
      <c r="DC59" s="43">
        <v>0</v>
      </c>
      <c r="DD59" s="43">
        <v>0</v>
      </c>
      <c r="DE59" s="43">
        <v>1513380.84</v>
      </c>
      <c r="DF59" s="43">
        <v>1804746.68</v>
      </c>
      <c r="DG59" s="43">
        <v>0</v>
      </c>
      <c r="DH59" s="43">
        <v>163769.38</v>
      </c>
      <c r="DI59" s="43">
        <v>10755540.529999999</v>
      </c>
      <c r="DJ59" s="43">
        <v>-5054783.79</v>
      </c>
      <c r="DK59" s="43">
        <v>0</v>
      </c>
      <c r="DL59" s="43">
        <v>22152430.810000002</v>
      </c>
      <c r="DM59" s="43">
        <v>30290239.48</v>
      </c>
      <c r="DN59" s="43">
        <v>0</v>
      </c>
      <c r="DO59" s="43">
        <v>0</v>
      </c>
      <c r="DP59" s="43">
        <v>0</v>
      </c>
      <c r="DQ59" s="43">
        <v>3772894.3</v>
      </c>
      <c r="DR59" s="43">
        <v>-11910702.970000001</v>
      </c>
      <c r="DS59" s="43">
        <v>0</v>
      </c>
      <c r="DT59" s="43">
        <v>5112.33</v>
      </c>
      <c r="DU59" s="43">
        <v>0</v>
      </c>
      <c r="DV59" s="43">
        <v>0</v>
      </c>
      <c r="DW59" s="43">
        <v>5112.33</v>
      </c>
      <c r="DX59" s="43">
        <v>3793620</v>
      </c>
      <c r="DY59" s="43">
        <v>0</v>
      </c>
      <c r="DZ59" s="43">
        <v>0</v>
      </c>
      <c r="EA59" s="43">
        <v>0</v>
      </c>
      <c r="EB59" s="43">
        <v>0</v>
      </c>
      <c r="EC59" s="43">
        <v>3793620</v>
      </c>
      <c r="ED59" s="43">
        <v>0</v>
      </c>
      <c r="EE59" s="43">
        <v>0</v>
      </c>
      <c r="EF59" s="43">
        <v>0</v>
      </c>
    </row>
    <row r="60" spans="1:136" ht="13.5" customHeight="1">
      <c r="A60" s="40" t="s">
        <v>2</v>
      </c>
      <c r="B60" s="41">
        <v>3001</v>
      </c>
      <c r="C60" s="42" t="s">
        <v>417</v>
      </c>
      <c r="D60" s="43">
        <v>58320307321.070007</v>
      </c>
      <c r="E60" s="43">
        <v>5974685533.1800032</v>
      </c>
      <c r="F60" s="43">
        <v>31684.519999999997</v>
      </c>
      <c r="G60" s="43">
        <v>0</v>
      </c>
      <c r="H60" s="43">
        <v>5629967007.4900026</v>
      </c>
      <c r="I60" s="43">
        <v>0</v>
      </c>
      <c r="J60" s="43">
        <v>318328801.79000002</v>
      </c>
      <c r="K60" s="43">
        <v>26358039.380000003</v>
      </c>
      <c r="L60" s="43">
        <v>39039267765.639999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39039267765.639999</v>
      </c>
      <c r="S60" s="43">
        <v>0</v>
      </c>
      <c r="T60" s="43">
        <v>0</v>
      </c>
      <c r="U60" s="43">
        <v>12565619794.84</v>
      </c>
      <c r="V60" s="43">
        <v>11810201342.27</v>
      </c>
      <c r="W60" s="43">
        <v>0</v>
      </c>
      <c r="X60" s="43">
        <v>0</v>
      </c>
      <c r="Y60" s="43">
        <v>0</v>
      </c>
      <c r="Z60" s="43">
        <v>0</v>
      </c>
      <c r="AA60" s="43">
        <v>735536956.1500001</v>
      </c>
      <c r="AB60" s="43">
        <v>0</v>
      </c>
      <c r="AC60" s="43">
        <v>19791546.810000002</v>
      </c>
      <c r="AD60" s="43">
        <v>9951293.6099999994</v>
      </c>
      <c r="AE60" s="43">
        <v>-9861344</v>
      </c>
      <c r="AF60" s="43">
        <v>14151484.220000001</v>
      </c>
      <c r="AG60" s="43">
        <v>0</v>
      </c>
      <c r="AH60" s="43">
        <v>0</v>
      </c>
      <c r="AI60" s="43">
        <v>0</v>
      </c>
      <c r="AJ60" s="43">
        <v>0</v>
      </c>
      <c r="AK60" s="43">
        <v>14011153.120000001</v>
      </c>
      <c r="AL60" s="43">
        <v>140331.1</v>
      </c>
      <c r="AM60" s="43">
        <v>0</v>
      </c>
      <c r="AN60" s="43">
        <v>0</v>
      </c>
      <c r="AO60" s="43">
        <v>0</v>
      </c>
      <c r="AP60" s="43">
        <v>8639251.1699999999</v>
      </c>
      <c r="AQ60" s="43">
        <v>0</v>
      </c>
      <c r="AR60" s="43">
        <v>0</v>
      </c>
      <c r="AS60" s="43">
        <v>8382867.0699999994</v>
      </c>
      <c r="AT60" s="43">
        <v>256384.09999999998</v>
      </c>
      <c r="AU60" s="43">
        <v>0</v>
      </c>
      <c r="AV60" s="43">
        <v>0</v>
      </c>
      <c r="AW60" s="43">
        <v>0</v>
      </c>
      <c r="AX60" s="43">
        <v>331393302.48000002</v>
      </c>
      <c r="AY60" s="43">
        <v>0</v>
      </c>
      <c r="AZ60" s="43">
        <v>0</v>
      </c>
      <c r="BA60" s="43">
        <v>0</v>
      </c>
      <c r="BB60" s="43">
        <v>331393302.48000002</v>
      </c>
      <c r="BC60" s="43">
        <v>386550189.53999996</v>
      </c>
      <c r="BD60" s="43">
        <v>0</v>
      </c>
      <c r="BE60" s="43">
        <v>0</v>
      </c>
      <c r="BF60" s="43">
        <v>0</v>
      </c>
      <c r="BG60" s="43">
        <v>247924263.56</v>
      </c>
      <c r="BH60" s="43">
        <v>139370981.26999998</v>
      </c>
      <c r="BI60" s="43">
        <v>0</v>
      </c>
      <c r="BJ60" s="43">
        <v>0</v>
      </c>
      <c r="BK60" s="43">
        <v>-745055.29</v>
      </c>
      <c r="BL60" s="43">
        <v>2354716757.3900003</v>
      </c>
      <c r="BM60" s="43">
        <v>522173756.13000005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522173756.13000005</v>
      </c>
      <c r="BV60" s="43">
        <v>0</v>
      </c>
      <c r="BW60" s="43">
        <v>0</v>
      </c>
      <c r="BX60" s="43">
        <v>0</v>
      </c>
      <c r="BY60" s="43">
        <v>0</v>
      </c>
      <c r="BZ60" s="43">
        <v>0</v>
      </c>
      <c r="CA60" s="43">
        <v>0</v>
      </c>
      <c r="CB60" s="43">
        <v>0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4709632.7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4709632.7</v>
      </c>
      <c r="CZ60" s="43">
        <v>0</v>
      </c>
      <c r="DA60" s="43">
        <v>970058543.36000001</v>
      </c>
      <c r="DB60" s="43">
        <v>0</v>
      </c>
      <c r="DC60" s="43">
        <v>0</v>
      </c>
      <c r="DD60" s="43">
        <v>0</v>
      </c>
      <c r="DE60" s="43">
        <v>0</v>
      </c>
      <c r="DF60" s="43">
        <v>193361878.00999999</v>
      </c>
      <c r="DG60" s="43">
        <v>64124498.710000001</v>
      </c>
      <c r="DH60" s="43">
        <v>96306894.969999999</v>
      </c>
      <c r="DI60" s="43">
        <v>1129004462.29</v>
      </c>
      <c r="DJ60" s="43">
        <v>-512739190.62</v>
      </c>
      <c r="DK60" s="43">
        <v>0</v>
      </c>
      <c r="DL60" s="43">
        <v>231326910.89000002</v>
      </c>
      <c r="DM60" s="43">
        <v>0</v>
      </c>
      <c r="DN60" s="43">
        <v>0</v>
      </c>
      <c r="DO60" s="43">
        <v>0</v>
      </c>
      <c r="DP60" s="43">
        <v>0</v>
      </c>
      <c r="DQ60" s="43">
        <v>418111539.49000001</v>
      </c>
      <c r="DR60" s="43">
        <v>-186784628.59999999</v>
      </c>
      <c r="DS60" s="43">
        <v>0</v>
      </c>
      <c r="DT60" s="43">
        <v>0</v>
      </c>
      <c r="DU60" s="43">
        <v>0</v>
      </c>
      <c r="DV60" s="43">
        <v>0</v>
      </c>
      <c r="DW60" s="43">
        <v>0</v>
      </c>
      <c r="DX60" s="43">
        <v>626447914.30999994</v>
      </c>
      <c r="DY60" s="43">
        <v>0</v>
      </c>
      <c r="DZ60" s="43">
        <v>0</v>
      </c>
      <c r="EA60" s="43">
        <v>0</v>
      </c>
      <c r="EB60" s="43">
        <v>0</v>
      </c>
      <c r="EC60" s="43">
        <v>626447914.30999994</v>
      </c>
      <c r="ED60" s="43">
        <v>0</v>
      </c>
      <c r="EE60" s="43">
        <v>0</v>
      </c>
      <c r="EF60" s="43">
        <v>0</v>
      </c>
    </row>
    <row r="61" spans="1:136" ht="13.5" customHeight="1">
      <c r="A61" s="40" t="s">
        <v>168</v>
      </c>
      <c r="B61" s="41">
        <v>3002</v>
      </c>
      <c r="C61" s="42" t="s">
        <v>417</v>
      </c>
      <c r="D61" s="43">
        <v>7311716555.3900013</v>
      </c>
      <c r="E61" s="43">
        <v>1701282338.26</v>
      </c>
      <c r="F61" s="43">
        <v>-0.5</v>
      </c>
      <c r="G61" s="43">
        <v>0</v>
      </c>
      <c r="H61" s="43">
        <v>1349099832.52</v>
      </c>
      <c r="I61" s="43">
        <v>0</v>
      </c>
      <c r="J61" s="43">
        <v>352182506.23999995</v>
      </c>
      <c r="K61" s="43">
        <v>0</v>
      </c>
      <c r="L61" s="43">
        <v>4879741246.2700005</v>
      </c>
      <c r="M61" s="43">
        <v>4066564300.6000004</v>
      </c>
      <c r="N61" s="43">
        <v>1599930.3</v>
      </c>
      <c r="O61" s="43">
        <v>400716637.45999998</v>
      </c>
      <c r="P61" s="43">
        <v>0</v>
      </c>
      <c r="Q61" s="43">
        <v>0</v>
      </c>
      <c r="R61" s="43">
        <v>410860377.91000003</v>
      </c>
      <c r="S61" s="43">
        <v>0</v>
      </c>
      <c r="T61" s="43">
        <v>0</v>
      </c>
      <c r="U61" s="43">
        <v>300335177.17000002</v>
      </c>
      <c r="V61" s="43">
        <v>154951445.40000001</v>
      </c>
      <c r="W61" s="43">
        <v>-8490744</v>
      </c>
      <c r="X61" s="43">
        <v>0</v>
      </c>
      <c r="Y61" s="43">
        <v>0</v>
      </c>
      <c r="Z61" s="43">
        <v>0</v>
      </c>
      <c r="AA61" s="43">
        <v>81822515.040000007</v>
      </c>
      <c r="AB61" s="43">
        <v>0</v>
      </c>
      <c r="AC61" s="43">
        <v>72051960.730000004</v>
      </c>
      <c r="AD61" s="43">
        <v>6315481.5499999998</v>
      </c>
      <c r="AE61" s="43">
        <v>-6315481.5499999998</v>
      </c>
      <c r="AF61" s="43">
        <v>542349.64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542349.64</v>
      </c>
      <c r="AM61" s="43">
        <v>0</v>
      </c>
      <c r="AN61" s="43">
        <v>0</v>
      </c>
      <c r="AO61" s="43">
        <v>0</v>
      </c>
      <c r="AP61" s="43">
        <v>78345.969999999972</v>
      </c>
      <c r="AQ61" s="43">
        <v>0</v>
      </c>
      <c r="AR61" s="43">
        <v>0</v>
      </c>
      <c r="AS61" s="43">
        <v>0</v>
      </c>
      <c r="AT61" s="43">
        <v>78345.969999999972</v>
      </c>
      <c r="AU61" s="43">
        <v>0</v>
      </c>
      <c r="AV61" s="43">
        <v>0</v>
      </c>
      <c r="AW61" s="43">
        <v>0</v>
      </c>
      <c r="AX61" s="43">
        <v>396365389.65000004</v>
      </c>
      <c r="AY61" s="43">
        <v>354880924.96000004</v>
      </c>
      <c r="AZ61" s="43">
        <v>0</v>
      </c>
      <c r="BA61" s="43">
        <v>0</v>
      </c>
      <c r="BB61" s="43">
        <v>41484464.689999998</v>
      </c>
      <c r="BC61" s="43">
        <v>33371708.43</v>
      </c>
      <c r="BD61" s="43">
        <v>0</v>
      </c>
      <c r="BE61" s="43">
        <v>32793318.920000002</v>
      </c>
      <c r="BF61" s="43">
        <v>0</v>
      </c>
      <c r="BG61" s="43">
        <v>49322.880000000005</v>
      </c>
      <c r="BH61" s="43">
        <v>529066.63</v>
      </c>
      <c r="BI61" s="43">
        <v>0</v>
      </c>
      <c r="BJ61" s="43">
        <v>0</v>
      </c>
      <c r="BK61" s="43">
        <v>0</v>
      </c>
      <c r="BL61" s="43">
        <v>64759024231.150009</v>
      </c>
      <c r="BM61" s="43">
        <v>64408918966.330009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64408918966.330009</v>
      </c>
      <c r="BV61" s="43">
        <v>0</v>
      </c>
      <c r="BW61" s="43">
        <v>0</v>
      </c>
      <c r="BX61" s="43">
        <v>0</v>
      </c>
      <c r="BY61" s="43">
        <v>0</v>
      </c>
      <c r="BZ61" s="43">
        <v>0</v>
      </c>
      <c r="CA61" s="43">
        <v>0</v>
      </c>
      <c r="CB61" s="43">
        <v>0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11104659.210000001</v>
      </c>
      <c r="CQ61" s="43">
        <v>11104659.210000001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51134324.410000004</v>
      </c>
      <c r="DB61" s="43">
        <v>0</v>
      </c>
      <c r="DC61" s="43">
        <v>0</v>
      </c>
      <c r="DD61" s="43">
        <v>0</v>
      </c>
      <c r="DE61" s="43">
        <v>0</v>
      </c>
      <c r="DF61" s="43">
        <v>31465128.959999997</v>
      </c>
      <c r="DG61" s="43">
        <v>46823073.200000003</v>
      </c>
      <c r="DH61" s="43">
        <v>3485665.87</v>
      </c>
      <c r="DI61" s="43">
        <v>8167784.8400000008</v>
      </c>
      <c r="DJ61" s="43">
        <v>-38807328.460000001</v>
      </c>
      <c r="DK61" s="43">
        <v>0</v>
      </c>
      <c r="DL61" s="43">
        <v>110206501.89000002</v>
      </c>
      <c r="DM61" s="43">
        <v>236375277.91000003</v>
      </c>
      <c r="DN61" s="43">
        <v>0</v>
      </c>
      <c r="DO61" s="43">
        <v>0</v>
      </c>
      <c r="DP61" s="43">
        <v>0</v>
      </c>
      <c r="DQ61" s="43">
        <v>0</v>
      </c>
      <c r="DR61" s="43">
        <v>-160522193.43000001</v>
      </c>
      <c r="DS61" s="43">
        <v>34353417.409999996</v>
      </c>
      <c r="DT61" s="43">
        <v>26929242.170000002</v>
      </c>
      <c r="DU61" s="43">
        <v>0</v>
      </c>
      <c r="DV61" s="43">
        <v>0</v>
      </c>
      <c r="DW61" s="43">
        <v>26929242.170000002</v>
      </c>
      <c r="DX61" s="43">
        <v>150730537.13999999</v>
      </c>
      <c r="DY61" s="43">
        <v>0</v>
      </c>
      <c r="DZ61" s="43">
        <v>0</v>
      </c>
      <c r="EA61" s="43">
        <v>0</v>
      </c>
      <c r="EB61" s="43">
        <v>0</v>
      </c>
      <c r="EC61" s="43">
        <v>150730537.13999999</v>
      </c>
      <c r="ED61" s="43">
        <v>0</v>
      </c>
      <c r="EE61" s="43">
        <v>0</v>
      </c>
      <c r="EF61" s="43">
        <v>0</v>
      </c>
    </row>
    <row r="62" spans="1:136" ht="13.5" customHeight="1">
      <c r="A62" s="40" t="s">
        <v>171</v>
      </c>
      <c r="B62" s="41">
        <v>3003</v>
      </c>
      <c r="C62" s="42" t="s">
        <v>417</v>
      </c>
      <c r="D62" s="43">
        <v>43295826075.619987</v>
      </c>
      <c r="E62" s="43">
        <v>12349838148.679993</v>
      </c>
      <c r="F62" s="43">
        <v>0</v>
      </c>
      <c r="G62" s="43">
        <v>0</v>
      </c>
      <c r="H62" s="43">
        <v>10172519679.319998</v>
      </c>
      <c r="I62" s="43">
        <v>0</v>
      </c>
      <c r="J62" s="43">
        <v>2177318469.3599944</v>
      </c>
      <c r="K62" s="43">
        <v>0</v>
      </c>
      <c r="L62" s="43">
        <v>26313520670.709999</v>
      </c>
      <c r="M62" s="43">
        <v>15861665836.01</v>
      </c>
      <c r="N62" s="43">
        <v>155784920.96000001</v>
      </c>
      <c r="O62" s="43">
        <v>9787936207.7600002</v>
      </c>
      <c r="P62" s="43">
        <v>0</v>
      </c>
      <c r="Q62" s="43">
        <v>0</v>
      </c>
      <c r="R62" s="43">
        <v>508133705.98000002</v>
      </c>
      <c r="S62" s="43">
        <v>0</v>
      </c>
      <c r="T62" s="43">
        <v>0</v>
      </c>
      <c r="U62" s="43">
        <v>895986942.51999998</v>
      </c>
      <c r="V62" s="43">
        <v>376147089.57999998</v>
      </c>
      <c r="W62" s="43">
        <v>-2763546.96</v>
      </c>
      <c r="X62" s="43">
        <v>0</v>
      </c>
      <c r="Y62" s="43">
        <v>0</v>
      </c>
      <c r="Z62" s="43">
        <v>0</v>
      </c>
      <c r="AA62" s="43">
        <v>102456377.05</v>
      </c>
      <c r="AB62" s="43">
        <v>0</v>
      </c>
      <c r="AC62" s="43">
        <v>420147022.84999996</v>
      </c>
      <c r="AD62" s="43">
        <v>31888.63</v>
      </c>
      <c r="AE62" s="43">
        <v>-31888.63</v>
      </c>
      <c r="AF62" s="43">
        <v>13143286.9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13143286.9</v>
      </c>
      <c r="AM62" s="43">
        <v>0</v>
      </c>
      <c r="AN62" s="43">
        <v>0</v>
      </c>
      <c r="AO62" s="43">
        <v>0</v>
      </c>
      <c r="AP62" s="43">
        <v>1068217209.79</v>
      </c>
      <c r="AQ62" s="43">
        <v>0</v>
      </c>
      <c r="AR62" s="43">
        <v>0</v>
      </c>
      <c r="AS62" s="43">
        <v>0</v>
      </c>
      <c r="AT62" s="43">
        <v>1068217209.79</v>
      </c>
      <c r="AU62" s="43">
        <v>0</v>
      </c>
      <c r="AV62" s="43">
        <v>0</v>
      </c>
      <c r="AW62" s="43">
        <v>0</v>
      </c>
      <c r="AX62" s="43">
        <v>2353894637.6300001</v>
      </c>
      <c r="AY62" s="43">
        <v>2039269748.3700001</v>
      </c>
      <c r="AZ62" s="43">
        <v>0</v>
      </c>
      <c r="BA62" s="43">
        <v>107433166.34</v>
      </c>
      <c r="BB62" s="43">
        <v>207191722.92000002</v>
      </c>
      <c r="BC62" s="43">
        <v>301225179.39000005</v>
      </c>
      <c r="BD62" s="43">
        <v>0</v>
      </c>
      <c r="BE62" s="43">
        <v>293997730.97000003</v>
      </c>
      <c r="BF62" s="43">
        <v>0</v>
      </c>
      <c r="BG62" s="43">
        <v>2075000</v>
      </c>
      <c r="BH62" s="43">
        <v>5152448.42</v>
      </c>
      <c r="BI62" s="43">
        <v>0</v>
      </c>
      <c r="BJ62" s="43">
        <v>0</v>
      </c>
      <c r="BK62" s="43">
        <v>0</v>
      </c>
      <c r="BL62" s="43">
        <v>336500365900.22974</v>
      </c>
      <c r="BM62" s="43">
        <v>333922503823.94971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333922503823.94971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0</v>
      </c>
      <c r="CB62" s="43">
        <v>0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10472.19</v>
      </c>
      <c r="CI62" s="43">
        <v>0</v>
      </c>
      <c r="CJ62" s="43">
        <v>0</v>
      </c>
      <c r="CK62" s="43">
        <v>10472.19</v>
      </c>
      <c r="CL62" s="43">
        <v>0</v>
      </c>
      <c r="CM62" s="43">
        <v>0</v>
      </c>
      <c r="CN62" s="43">
        <v>0</v>
      </c>
      <c r="CO62" s="43">
        <v>0</v>
      </c>
      <c r="CP62" s="43">
        <v>11494599.52</v>
      </c>
      <c r="CQ62" s="43">
        <v>0</v>
      </c>
      <c r="CR62" s="43">
        <v>11494599.52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504570520.11999995</v>
      </c>
      <c r="DB62" s="43">
        <v>0</v>
      </c>
      <c r="DC62" s="43">
        <v>0</v>
      </c>
      <c r="DD62" s="43">
        <v>0</v>
      </c>
      <c r="DE62" s="43">
        <v>0</v>
      </c>
      <c r="DF62" s="43">
        <v>381746833.07999998</v>
      </c>
      <c r="DG62" s="43">
        <v>370420983.22000003</v>
      </c>
      <c r="DH62" s="43">
        <v>25490687.760000002</v>
      </c>
      <c r="DI62" s="43">
        <v>63680210.759999998</v>
      </c>
      <c r="DJ62" s="43">
        <v>-336768194.69999999</v>
      </c>
      <c r="DK62" s="43">
        <v>0</v>
      </c>
      <c r="DL62" s="43">
        <v>332678235.33999997</v>
      </c>
      <c r="DM62" s="43">
        <v>469782061.46999997</v>
      </c>
      <c r="DN62" s="43">
        <v>0</v>
      </c>
      <c r="DO62" s="43">
        <v>0</v>
      </c>
      <c r="DP62" s="43">
        <v>0</v>
      </c>
      <c r="DQ62" s="43">
        <v>0</v>
      </c>
      <c r="DR62" s="43">
        <v>-203259271.41</v>
      </c>
      <c r="DS62" s="43">
        <v>66155445.280000001</v>
      </c>
      <c r="DT62" s="43">
        <v>999137222.41000009</v>
      </c>
      <c r="DU62" s="43">
        <v>0</v>
      </c>
      <c r="DV62" s="43">
        <v>0</v>
      </c>
      <c r="DW62" s="43">
        <v>999137222.41000009</v>
      </c>
      <c r="DX62" s="43">
        <v>729971026.70000005</v>
      </c>
      <c r="DY62" s="43">
        <v>0</v>
      </c>
      <c r="DZ62" s="43">
        <v>0</v>
      </c>
      <c r="EA62" s="43">
        <v>0</v>
      </c>
      <c r="EB62" s="43">
        <v>0</v>
      </c>
      <c r="EC62" s="43">
        <v>729971026.70000005</v>
      </c>
      <c r="ED62" s="43">
        <v>0</v>
      </c>
      <c r="EE62" s="43">
        <v>0</v>
      </c>
      <c r="EF62" s="43">
        <v>0</v>
      </c>
    </row>
    <row r="63" spans="1:136" ht="13.5" customHeight="1">
      <c r="A63" s="40" t="s">
        <v>174</v>
      </c>
      <c r="B63" s="41">
        <v>3004</v>
      </c>
      <c r="C63" s="42" t="s">
        <v>417</v>
      </c>
      <c r="D63" s="43">
        <v>74216591926.990005</v>
      </c>
      <c r="E63" s="43">
        <v>6732468490.6800003</v>
      </c>
      <c r="F63" s="43">
        <v>9385</v>
      </c>
      <c r="G63" s="43">
        <v>0</v>
      </c>
      <c r="H63" s="43">
        <v>2897637403.6799998</v>
      </c>
      <c r="I63" s="43">
        <v>0</v>
      </c>
      <c r="J63" s="43">
        <v>3834821702</v>
      </c>
      <c r="K63" s="43">
        <v>0</v>
      </c>
      <c r="L63" s="43">
        <v>58039948903</v>
      </c>
      <c r="M63" s="43">
        <v>12068694522</v>
      </c>
      <c r="N63" s="43">
        <v>0</v>
      </c>
      <c r="O63" s="43">
        <v>4030210360</v>
      </c>
      <c r="P63" s="43">
        <v>0</v>
      </c>
      <c r="Q63" s="43">
        <v>0</v>
      </c>
      <c r="R63" s="43">
        <v>41941044021</v>
      </c>
      <c r="S63" s="43">
        <v>0</v>
      </c>
      <c r="T63" s="43">
        <v>0</v>
      </c>
      <c r="U63" s="43">
        <v>5021656670.9300003</v>
      </c>
      <c r="V63" s="43">
        <v>845083352</v>
      </c>
      <c r="W63" s="43">
        <v>-2574</v>
      </c>
      <c r="X63" s="43">
        <v>0</v>
      </c>
      <c r="Y63" s="43">
        <v>0</v>
      </c>
      <c r="Z63" s="43">
        <v>0</v>
      </c>
      <c r="AA63" s="43">
        <v>3744000281</v>
      </c>
      <c r="AB63" s="43">
        <v>0</v>
      </c>
      <c r="AC63" s="43">
        <v>432575612</v>
      </c>
      <c r="AD63" s="43">
        <v>115054.93</v>
      </c>
      <c r="AE63" s="43">
        <v>-115055</v>
      </c>
      <c r="AF63" s="43">
        <v>53204</v>
      </c>
      <c r="AG63" s="43">
        <v>0</v>
      </c>
      <c r="AH63" s="43">
        <v>0</v>
      </c>
      <c r="AI63" s="43">
        <v>0</v>
      </c>
      <c r="AJ63" s="43">
        <v>0</v>
      </c>
      <c r="AK63" s="43">
        <v>53204</v>
      </c>
      <c r="AL63" s="43">
        <v>0</v>
      </c>
      <c r="AM63" s="43">
        <v>0</v>
      </c>
      <c r="AN63" s="43">
        <v>0</v>
      </c>
      <c r="AO63" s="43">
        <v>0</v>
      </c>
      <c r="AP63" s="43">
        <v>1254352574.3800001</v>
      </c>
      <c r="AQ63" s="43">
        <v>0</v>
      </c>
      <c r="AR63" s="43">
        <v>0</v>
      </c>
      <c r="AS63" s="43">
        <v>620001</v>
      </c>
      <c r="AT63" s="43">
        <v>1253732573.3800001</v>
      </c>
      <c r="AU63" s="43">
        <v>0</v>
      </c>
      <c r="AV63" s="43">
        <v>0</v>
      </c>
      <c r="AW63" s="43">
        <v>0</v>
      </c>
      <c r="AX63" s="43">
        <v>3168096140</v>
      </c>
      <c r="AY63" s="43">
        <v>2937701631</v>
      </c>
      <c r="AZ63" s="43">
        <v>1829583</v>
      </c>
      <c r="BA63" s="43">
        <v>0</v>
      </c>
      <c r="BB63" s="43">
        <v>228564926</v>
      </c>
      <c r="BC63" s="43">
        <v>15944</v>
      </c>
      <c r="BD63" s="43">
        <v>0</v>
      </c>
      <c r="BE63" s="43">
        <v>8444</v>
      </c>
      <c r="BF63" s="43">
        <v>0</v>
      </c>
      <c r="BG63" s="43">
        <v>7500</v>
      </c>
      <c r="BH63" s="43">
        <v>0</v>
      </c>
      <c r="BI63" s="43">
        <v>0</v>
      </c>
      <c r="BJ63" s="43">
        <v>0</v>
      </c>
      <c r="BK63" s="43">
        <v>0</v>
      </c>
      <c r="BL63" s="43">
        <v>407707213073</v>
      </c>
      <c r="BM63" s="43">
        <v>406163386603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406163386603</v>
      </c>
      <c r="BV63" s="43">
        <v>0</v>
      </c>
      <c r="BW63" s="43">
        <v>0</v>
      </c>
      <c r="BX63" s="43">
        <v>0</v>
      </c>
      <c r="BY63" s="43">
        <v>0</v>
      </c>
      <c r="BZ63" s="43">
        <v>0</v>
      </c>
      <c r="CA63" s="43">
        <v>0</v>
      </c>
      <c r="CB63" s="43">
        <v>0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19447648</v>
      </c>
      <c r="CQ63" s="43">
        <v>12901876</v>
      </c>
      <c r="CR63" s="43">
        <v>12762193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0</v>
      </c>
      <c r="CZ63" s="43">
        <v>-6216421</v>
      </c>
      <c r="DA63" s="43">
        <v>861624530</v>
      </c>
      <c r="DB63" s="43">
        <v>286795000</v>
      </c>
      <c r="DC63" s="43">
        <v>0</v>
      </c>
      <c r="DD63" s="43">
        <v>62100000</v>
      </c>
      <c r="DE63" s="43">
        <v>177015716</v>
      </c>
      <c r="DF63" s="43">
        <v>22883371</v>
      </c>
      <c r="DG63" s="43">
        <v>14427409</v>
      </c>
      <c r="DH63" s="43">
        <v>168361378</v>
      </c>
      <c r="DI63" s="43">
        <v>575413206</v>
      </c>
      <c r="DJ63" s="43">
        <v>-445371550</v>
      </c>
      <c r="DK63" s="43">
        <v>0</v>
      </c>
      <c r="DL63" s="43">
        <v>204545711</v>
      </c>
      <c r="DM63" s="43">
        <v>192337929</v>
      </c>
      <c r="DN63" s="43">
        <v>0</v>
      </c>
      <c r="DO63" s="43">
        <v>0</v>
      </c>
      <c r="DP63" s="43">
        <v>0</v>
      </c>
      <c r="DQ63" s="43">
        <v>0</v>
      </c>
      <c r="DR63" s="43">
        <v>-116279808</v>
      </c>
      <c r="DS63" s="43">
        <v>128487590</v>
      </c>
      <c r="DT63" s="43">
        <v>20843971</v>
      </c>
      <c r="DU63" s="43">
        <v>0</v>
      </c>
      <c r="DV63" s="43">
        <v>0</v>
      </c>
      <c r="DW63" s="43">
        <v>20843971</v>
      </c>
      <c r="DX63" s="43">
        <v>437364610</v>
      </c>
      <c r="DY63" s="43">
        <v>0</v>
      </c>
      <c r="DZ63" s="43">
        <v>0</v>
      </c>
      <c r="EA63" s="43">
        <v>0</v>
      </c>
      <c r="EB63" s="43">
        <v>0</v>
      </c>
      <c r="EC63" s="43">
        <v>437364610</v>
      </c>
      <c r="ED63" s="43">
        <v>0</v>
      </c>
      <c r="EE63" s="43">
        <v>0</v>
      </c>
      <c r="EF63" s="43">
        <v>0</v>
      </c>
    </row>
    <row r="64" spans="1:136" ht="13.5" customHeight="1">
      <c r="A64" s="40" t="s">
        <v>16</v>
      </c>
      <c r="B64" s="41">
        <v>3005</v>
      </c>
      <c r="C64" s="42" t="s">
        <v>417</v>
      </c>
      <c r="D64" s="43">
        <v>2281428062.0444989</v>
      </c>
      <c r="E64" s="43">
        <v>1099633017.140008</v>
      </c>
      <c r="F64" s="43">
        <v>0</v>
      </c>
      <c r="G64" s="43">
        <v>0</v>
      </c>
      <c r="H64" s="43">
        <v>1048901140.350008</v>
      </c>
      <c r="I64" s="43">
        <v>0</v>
      </c>
      <c r="J64" s="43">
        <v>50731876.789999999</v>
      </c>
      <c r="K64" s="43">
        <v>0</v>
      </c>
      <c r="L64" s="43">
        <v>34776657.530000001</v>
      </c>
      <c r="M64" s="43">
        <v>0</v>
      </c>
      <c r="N64" s="43">
        <v>34776657.530000001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655455195.30000007</v>
      </c>
      <c r="V64" s="43">
        <v>637954018.19000006</v>
      </c>
      <c r="W64" s="43">
        <v>0</v>
      </c>
      <c r="X64" s="43">
        <v>1569697.28</v>
      </c>
      <c r="Y64" s="43">
        <v>0</v>
      </c>
      <c r="Z64" s="43">
        <v>0</v>
      </c>
      <c r="AA64" s="43">
        <v>0</v>
      </c>
      <c r="AB64" s="43">
        <v>0</v>
      </c>
      <c r="AC64" s="43">
        <v>15931479.830000002</v>
      </c>
      <c r="AD64" s="43">
        <v>158900.06</v>
      </c>
      <c r="AE64" s="43">
        <v>-158900.06</v>
      </c>
      <c r="AF64" s="43">
        <v>811.8</v>
      </c>
      <c r="AG64" s="43">
        <v>0</v>
      </c>
      <c r="AH64" s="43">
        <v>0</v>
      </c>
      <c r="AI64" s="43">
        <v>0</v>
      </c>
      <c r="AJ64" s="43">
        <v>0</v>
      </c>
      <c r="AK64" s="43">
        <v>811.8</v>
      </c>
      <c r="AL64" s="43">
        <v>0</v>
      </c>
      <c r="AM64" s="43">
        <v>0</v>
      </c>
      <c r="AN64" s="43">
        <v>0</v>
      </c>
      <c r="AO64" s="43">
        <v>0</v>
      </c>
      <c r="AP64" s="43">
        <v>10661943.25</v>
      </c>
      <c r="AQ64" s="43">
        <v>0</v>
      </c>
      <c r="AR64" s="43">
        <v>0</v>
      </c>
      <c r="AS64" s="43">
        <v>0</v>
      </c>
      <c r="AT64" s="43">
        <v>10661943.25</v>
      </c>
      <c r="AU64" s="43">
        <v>0</v>
      </c>
      <c r="AV64" s="43">
        <v>0</v>
      </c>
      <c r="AW64" s="43">
        <v>0</v>
      </c>
      <c r="AX64" s="43">
        <v>469885349.0344913</v>
      </c>
      <c r="AY64" s="43">
        <v>446725452.83999997</v>
      </c>
      <c r="AZ64" s="43">
        <v>0</v>
      </c>
      <c r="BA64" s="43">
        <v>0</v>
      </c>
      <c r="BB64" s="43">
        <v>23159896.194491301</v>
      </c>
      <c r="BC64" s="43">
        <v>11015087.99</v>
      </c>
      <c r="BD64" s="43">
        <v>0</v>
      </c>
      <c r="BE64" s="43">
        <v>0</v>
      </c>
      <c r="BF64" s="43">
        <v>0</v>
      </c>
      <c r="BG64" s="43">
        <v>10995087.99</v>
      </c>
      <c r="BH64" s="43">
        <v>20000</v>
      </c>
      <c r="BI64" s="43">
        <v>0</v>
      </c>
      <c r="BJ64" s="43">
        <v>0</v>
      </c>
      <c r="BK64" s="43">
        <v>0</v>
      </c>
      <c r="BL64" s="43">
        <v>14526886425.560001</v>
      </c>
      <c r="BM64" s="43">
        <v>14342022976.58</v>
      </c>
      <c r="BN64" s="43">
        <v>0</v>
      </c>
      <c r="BO64" s="43">
        <v>0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14342022976.58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0</v>
      </c>
      <c r="CB64" s="43">
        <v>0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5760.11</v>
      </c>
      <c r="CI64" s="43">
        <v>0</v>
      </c>
      <c r="CJ64" s="43">
        <v>0</v>
      </c>
      <c r="CK64" s="43">
        <v>5760.11</v>
      </c>
      <c r="CL64" s="43">
        <v>0</v>
      </c>
      <c r="CM64" s="43">
        <v>0</v>
      </c>
      <c r="CN64" s="43">
        <v>0</v>
      </c>
      <c r="CO64" s="43">
        <v>0</v>
      </c>
      <c r="CP64" s="43">
        <v>4571849.82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4571849.82</v>
      </c>
      <c r="CZ64" s="43">
        <v>0</v>
      </c>
      <c r="DA64" s="43">
        <v>116958623.73999998</v>
      </c>
      <c r="DB64" s="43">
        <v>0</v>
      </c>
      <c r="DC64" s="43">
        <v>0</v>
      </c>
      <c r="DD64" s="43">
        <v>0</v>
      </c>
      <c r="DE64" s="43">
        <v>0</v>
      </c>
      <c r="DF64" s="43">
        <v>19852189.800000001</v>
      </c>
      <c r="DG64" s="43">
        <v>104000</v>
      </c>
      <c r="DH64" s="43">
        <v>32242537.420000002</v>
      </c>
      <c r="DI64" s="43">
        <v>101000009.17</v>
      </c>
      <c r="DJ64" s="43">
        <v>-36240112.650000006</v>
      </c>
      <c r="DK64" s="43">
        <v>0</v>
      </c>
      <c r="DL64" s="43">
        <v>44267672.609999985</v>
      </c>
      <c r="DM64" s="43">
        <v>57563264.229999997</v>
      </c>
      <c r="DN64" s="43">
        <v>0</v>
      </c>
      <c r="DO64" s="43">
        <v>0</v>
      </c>
      <c r="DP64" s="43">
        <v>0</v>
      </c>
      <c r="DQ64" s="43">
        <v>20000000</v>
      </c>
      <c r="DR64" s="43">
        <v>-33295591.620000001</v>
      </c>
      <c r="DS64" s="43">
        <v>0</v>
      </c>
      <c r="DT64" s="43">
        <v>0</v>
      </c>
      <c r="DU64" s="43">
        <v>0</v>
      </c>
      <c r="DV64" s="43">
        <v>0</v>
      </c>
      <c r="DW64" s="43">
        <v>0</v>
      </c>
      <c r="DX64" s="43">
        <v>19059542.699999999</v>
      </c>
      <c r="DY64" s="43">
        <v>0</v>
      </c>
      <c r="DZ64" s="43">
        <v>0</v>
      </c>
      <c r="EA64" s="43">
        <v>0</v>
      </c>
      <c r="EB64" s="43">
        <v>0</v>
      </c>
      <c r="EC64" s="43">
        <v>19059542.699999999</v>
      </c>
      <c r="ED64" s="43">
        <v>0</v>
      </c>
      <c r="EE64" s="43">
        <v>0</v>
      </c>
      <c r="EF64" s="43">
        <v>0</v>
      </c>
    </row>
    <row r="65" spans="1:136" ht="13.5" customHeight="1">
      <c r="A65" s="40" t="s">
        <v>179</v>
      </c>
      <c r="B65" s="41">
        <v>3006</v>
      </c>
      <c r="C65" s="42" t="s">
        <v>417</v>
      </c>
      <c r="D65" s="43">
        <v>67156125769.639999</v>
      </c>
      <c r="E65" s="43">
        <v>10978631311.960001</v>
      </c>
      <c r="F65" s="43">
        <v>0</v>
      </c>
      <c r="G65" s="43">
        <v>0</v>
      </c>
      <c r="H65" s="43">
        <v>6813088582.7299995</v>
      </c>
      <c r="I65" s="43">
        <v>0</v>
      </c>
      <c r="J65" s="43">
        <v>4165542729.1999998</v>
      </c>
      <c r="K65" s="43">
        <v>0.03</v>
      </c>
      <c r="L65" s="43">
        <v>52280092707.139999</v>
      </c>
      <c r="M65" s="43">
        <v>3952139580.0700002</v>
      </c>
      <c r="N65" s="43">
        <v>1887565144.1300001</v>
      </c>
      <c r="O65" s="43">
        <v>3365225798.1599998</v>
      </c>
      <c r="P65" s="43">
        <v>0</v>
      </c>
      <c r="Q65" s="43">
        <v>0</v>
      </c>
      <c r="R65" s="43">
        <v>43075162184.779999</v>
      </c>
      <c r="S65" s="43">
        <v>0</v>
      </c>
      <c r="T65" s="43">
        <v>0</v>
      </c>
      <c r="U65" s="43">
        <v>904441300.04999995</v>
      </c>
      <c r="V65" s="43">
        <v>377949580.98000002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526491719.06999999</v>
      </c>
      <c r="AD65" s="43">
        <v>0</v>
      </c>
      <c r="AE65" s="43">
        <v>0</v>
      </c>
      <c r="AF65" s="43">
        <v>104609981.85000001</v>
      </c>
      <c r="AG65" s="43">
        <v>0</v>
      </c>
      <c r="AH65" s="43">
        <v>0</v>
      </c>
      <c r="AI65" s="43">
        <v>3556729.02</v>
      </c>
      <c r="AJ65" s="43">
        <v>0</v>
      </c>
      <c r="AK65" s="43">
        <v>78983.66</v>
      </c>
      <c r="AL65" s="43">
        <v>100974269.17</v>
      </c>
      <c r="AM65" s="43">
        <v>0</v>
      </c>
      <c r="AN65" s="43">
        <v>0</v>
      </c>
      <c r="AO65" s="43">
        <v>0</v>
      </c>
      <c r="AP65" s="43">
        <v>43071262.239999995</v>
      </c>
      <c r="AQ65" s="43">
        <v>0</v>
      </c>
      <c r="AR65" s="43">
        <v>0</v>
      </c>
      <c r="AS65" s="43">
        <v>4494785.3</v>
      </c>
      <c r="AT65" s="43">
        <v>12639215.35</v>
      </c>
      <c r="AU65" s="43">
        <v>0</v>
      </c>
      <c r="AV65" s="43">
        <v>25937261.59</v>
      </c>
      <c r="AW65" s="43">
        <v>0</v>
      </c>
      <c r="AX65" s="43">
        <v>2787741188.6200004</v>
      </c>
      <c r="AY65" s="43">
        <v>2266706101.0700002</v>
      </c>
      <c r="AZ65" s="43">
        <v>0</v>
      </c>
      <c r="BA65" s="43">
        <v>37295970.880000003</v>
      </c>
      <c r="BB65" s="43">
        <v>483739116.67000002</v>
      </c>
      <c r="BC65" s="43">
        <v>57538017.780000001</v>
      </c>
      <c r="BD65" s="43">
        <v>0</v>
      </c>
      <c r="BE65" s="43">
        <v>0</v>
      </c>
      <c r="BF65" s="43">
        <v>0</v>
      </c>
      <c r="BG65" s="43">
        <v>56643959.490000002</v>
      </c>
      <c r="BH65" s="43">
        <v>894058.29</v>
      </c>
      <c r="BI65" s="43">
        <v>0</v>
      </c>
      <c r="BJ65" s="43">
        <v>0</v>
      </c>
      <c r="BK65" s="43">
        <v>0</v>
      </c>
      <c r="BL65" s="43">
        <v>453733218535.89008</v>
      </c>
      <c r="BM65" s="43">
        <v>448327478414.86005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838855858.51999998</v>
      </c>
      <c r="BT65" s="43">
        <v>0</v>
      </c>
      <c r="BU65" s="43">
        <v>447488622556.34003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862157.62</v>
      </c>
      <c r="CI65" s="43">
        <v>0</v>
      </c>
      <c r="CJ65" s="43">
        <v>0</v>
      </c>
      <c r="CK65" s="43">
        <v>862157.62</v>
      </c>
      <c r="CL65" s="43">
        <v>0</v>
      </c>
      <c r="CM65" s="43">
        <v>0</v>
      </c>
      <c r="CN65" s="43">
        <v>0</v>
      </c>
      <c r="CO65" s="43">
        <v>0</v>
      </c>
      <c r="CP65" s="43">
        <v>2142419473.03</v>
      </c>
      <c r="CQ65" s="43">
        <v>0</v>
      </c>
      <c r="CR65" s="43">
        <v>0</v>
      </c>
      <c r="CS65" s="43">
        <v>0</v>
      </c>
      <c r="CT65" s="43">
        <v>2138250000</v>
      </c>
      <c r="CU65" s="43">
        <v>0</v>
      </c>
      <c r="CV65" s="43">
        <v>0</v>
      </c>
      <c r="CW65" s="43">
        <v>0</v>
      </c>
      <c r="CX65" s="43">
        <v>0</v>
      </c>
      <c r="CY65" s="43">
        <v>4169473.03</v>
      </c>
      <c r="CZ65" s="43">
        <v>0</v>
      </c>
      <c r="DA65" s="43">
        <v>820357722.46000016</v>
      </c>
      <c r="DB65" s="43">
        <v>0</v>
      </c>
      <c r="DC65" s="43">
        <v>0</v>
      </c>
      <c r="DD65" s="43">
        <v>0</v>
      </c>
      <c r="DE65" s="43">
        <v>226516896.19</v>
      </c>
      <c r="DF65" s="43">
        <v>167904105.38999999</v>
      </c>
      <c r="DG65" s="43">
        <v>4456100.91</v>
      </c>
      <c r="DH65" s="43">
        <v>408128183.48000002</v>
      </c>
      <c r="DI65" s="43">
        <v>428595656.40999997</v>
      </c>
      <c r="DJ65" s="43">
        <v>-415243219.91999996</v>
      </c>
      <c r="DK65" s="43">
        <v>0</v>
      </c>
      <c r="DL65" s="43">
        <v>1947451617.0199997</v>
      </c>
      <c r="DM65" s="43">
        <v>0</v>
      </c>
      <c r="DN65" s="43">
        <v>0</v>
      </c>
      <c r="DO65" s="43">
        <v>0</v>
      </c>
      <c r="DP65" s="43">
        <v>0</v>
      </c>
      <c r="DQ65" s="43">
        <v>2328089646.1599998</v>
      </c>
      <c r="DR65" s="43">
        <v>-841846377.16999996</v>
      </c>
      <c r="DS65" s="43">
        <v>461208348.02999997</v>
      </c>
      <c r="DT65" s="43">
        <v>3154643.67</v>
      </c>
      <c r="DU65" s="43">
        <v>0</v>
      </c>
      <c r="DV65" s="43">
        <v>0</v>
      </c>
      <c r="DW65" s="43">
        <v>3154643.67</v>
      </c>
      <c r="DX65" s="43">
        <v>491494507.23000002</v>
      </c>
      <c r="DY65" s="43">
        <v>0</v>
      </c>
      <c r="DZ65" s="43">
        <v>0</v>
      </c>
      <c r="EA65" s="43">
        <v>0</v>
      </c>
      <c r="EB65" s="43">
        <v>0</v>
      </c>
      <c r="EC65" s="43">
        <v>491494507.23000002</v>
      </c>
      <c r="ED65" s="43">
        <v>0</v>
      </c>
      <c r="EE65" s="43">
        <v>0</v>
      </c>
      <c r="EF65" s="43">
        <v>0</v>
      </c>
    </row>
    <row r="66" spans="1:136" ht="13.5" customHeight="1">
      <c r="A66" s="40" t="s">
        <v>182</v>
      </c>
      <c r="B66" s="41">
        <v>3007</v>
      </c>
      <c r="C66" s="42" t="s">
        <v>417</v>
      </c>
      <c r="D66" s="43">
        <v>1576656299.0800002</v>
      </c>
      <c r="E66" s="43">
        <v>366790798.51999998</v>
      </c>
      <c r="F66" s="43">
        <v>0</v>
      </c>
      <c r="G66" s="43">
        <v>0</v>
      </c>
      <c r="H66" s="43">
        <v>218982801.77000001</v>
      </c>
      <c r="I66" s="43">
        <v>0.03</v>
      </c>
      <c r="J66" s="43">
        <v>147807996.72</v>
      </c>
      <c r="K66" s="43">
        <v>0</v>
      </c>
      <c r="L66" s="43">
        <v>975764882.12</v>
      </c>
      <c r="M66" s="43">
        <v>753577288.21000004</v>
      </c>
      <c r="N66" s="43">
        <v>0</v>
      </c>
      <c r="O66" s="43">
        <v>0</v>
      </c>
      <c r="P66" s="43">
        <v>0</v>
      </c>
      <c r="Q66" s="43">
        <v>0</v>
      </c>
      <c r="R66" s="43">
        <v>222187593.90999997</v>
      </c>
      <c r="S66" s="43">
        <v>0</v>
      </c>
      <c r="T66" s="43">
        <v>0</v>
      </c>
      <c r="U66" s="43">
        <v>163809348.09</v>
      </c>
      <c r="V66" s="43">
        <v>141843368.44000003</v>
      </c>
      <c r="W66" s="43">
        <v>-3592.27</v>
      </c>
      <c r="X66" s="43"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21969571.919999998</v>
      </c>
      <c r="AD66" s="43">
        <v>142623.01999999999</v>
      </c>
      <c r="AE66" s="43">
        <v>-142623.01999999999</v>
      </c>
      <c r="AF66" s="43">
        <v>5223114.6399999997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5223114.6399999997</v>
      </c>
      <c r="AM66" s="43">
        <v>0</v>
      </c>
      <c r="AN66" s="43">
        <v>0</v>
      </c>
      <c r="AO66" s="43">
        <v>0</v>
      </c>
      <c r="AP66" s="43">
        <v>8552861.8900000006</v>
      </c>
      <c r="AQ66" s="43">
        <v>0</v>
      </c>
      <c r="AR66" s="43">
        <v>0</v>
      </c>
      <c r="AS66" s="43">
        <v>4365.05</v>
      </c>
      <c r="AT66" s="43">
        <v>8548496.8399999999</v>
      </c>
      <c r="AU66" s="43">
        <v>0</v>
      </c>
      <c r="AV66" s="43">
        <v>0</v>
      </c>
      <c r="AW66" s="43">
        <v>0</v>
      </c>
      <c r="AX66" s="43">
        <v>51836468.170000002</v>
      </c>
      <c r="AY66" s="43">
        <v>46374490.880000003</v>
      </c>
      <c r="AZ66" s="43">
        <v>0</v>
      </c>
      <c r="BA66" s="43">
        <v>0</v>
      </c>
      <c r="BB66" s="43">
        <v>5461977.29</v>
      </c>
      <c r="BC66" s="43">
        <v>4678825.6499999994</v>
      </c>
      <c r="BD66" s="43">
        <v>0</v>
      </c>
      <c r="BE66" s="43">
        <v>4678825.5999999996</v>
      </c>
      <c r="BF66" s="43">
        <v>0.05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12150887248.74</v>
      </c>
      <c r="BM66" s="43">
        <v>11569430679.009998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11569430679.009998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561138738.37</v>
      </c>
      <c r="CQ66" s="43">
        <v>561138738.37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1147633</v>
      </c>
      <c r="DB66" s="43">
        <v>0</v>
      </c>
      <c r="DC66" s="43">
        <v>0</v>
      </c>
      <c r="DD66" s="43">
        <v>0</v>
      </c>
      <c r="DE66" s="43">
        <v>0</v>
      </c>
      <c r="DF66" s="43">
        <v>2293513.6</v>
      </c>
      <c r="DG66" s="43">
        <v>0</v>
      </c>
      <c r="DH66" s="43">
        <v>0</v>
      </c>
      <c r="DI66" s="43">
        <v>3894765.27</v>
      </c>
      <c r="DJ66" s="43">
        <v>-5040645.87</v>
      </c>
      <c r="DK66" s="43">
        <v>0</v>
      </c>
      <c r="DL66" s="43">
        <v>270914.19000000134</v>
      </c>
      <c r="DM66" s="43">
        <v>15049015.859999999</v>
      </c>
      <c r="DN66" s="43">
        <v>0</v>
      </c>
      <c r="DO66" s="43">
        <v>0</v>
      </c>
      <c r="DP66" s="43">
        <v>0</v>
      </c>
      <c r="DQ66" s="43">
        <v>0</v>
      </c>
      <c r="DR66" s="43">
        <v>-14778101.669999998</v>
      </c>
      <c r="DS66" s="43">
        <v>0</v>
      </c>
      <c r="DT66" s="43">
        <v>0</v>
      </c>
      <c r="DU66" s="43">
        <v>0</v>
      </c>
      <c r="DV66" s="43">
        <v>0</v>
      </c>
      <c r="DW66" s="43">
        <v>0</v>
      </c>
      <c r="DX66" s="43">
        <v>18899284.170000002</v>
      </c>
      <c r="DY66" s="43">
        <v>0</v>
      </c>
      <c r="DZ66" s="43">
        <v>0</v>
      </c>
      <c r="EA66" s="43">
        <v>0</v>
      </c>
      <c r="EB66" s="43">
        <v>0</v>
      </c>
      <c r="EC66" s="43">
        <v>18899284.170000002</v>
      </c>
      <c r="ED66" s="43">
        <v>0</v>
      </c>
      <c r="EE66" s="43">
        <v>0</v>
      </c>
      <c r="EF66" s="43">
        <v>0</v>
      </c>
    </row>
    <row r="67" spans="1:136" ht="13.5" customHeight="1">
      <c r="A67" s="40" t="s">
        <v>184</v>
      </c>
      <c r="B67" s="41">
        <v>3008</v>
      </c>
      <c r="C67" s="42" t="s">
        <v>417</v>
      </c>
      <c r="D67" s="43">
        <v>4733386736.1899891</v>
      </c>
      <c r="E67" s="43">
        <v>2512134351.3299885</v>
      </c>
      <c r="F67" s="43">
        <v>0</v>
      </c>
      <c r="G67" s="43">
        <v>0</v>
      </c>
      <c r="H67" s="43">
        <v>2177903752.0099888</v>
      </c>
      <c r="I67" s="43">
        <v>0</v>
      </c>
      <c r="J67" s="43">
        <v>334230599.31999993</v>
      </c>
      <c r="K67" s="43">
        <v>0</v>
      </c>
      <c r="L67" s="43">
        <v>1496191357.3699996</v>
      </c>
      <c r="M67" s="43">
        <v>24053952.549999952</v>
      </c>
      <c r="N67" s="43">
        <v>0</v>
      </c>
      <c r="O67" s="43">
        <v>968296860.64999962</v>
      </c>
      <c r="P67" s="43">
        <v>0</v>
      </c>
      <c r="Q67" s="43">
        <v>0</v>
      </c>
      <c r="R67" s="43">
        <v>503840544.17000014</v>
      </c>
      <c r="S67" s="43">
        <v>0</v>
      </c>
      <c r="T67" s="43">
        <v>0</v>
      </c>
      <c r="U67" s="43">
        <v>171308118.86000064</v>
      </c>
      <c r="V67" s="43">
        <v>150007125.55000061</v>
      </c>
      <c r="W67" s="43">
        <v>-22367071.36999999</v>
      </c>
      <c r="X67" s="43">
        <v>0</v>
      </c>
      <c r="Y67" s="43">
        <v>0</v>
      </c>
      <c r="Z67" s="43">
        <v>0</v>
      </c>
      <c r="AA67" s="43">
        <v>0</v>
      </c>
      <c r="AB67" s="43">
        <v>0</v>
      </c>
      <c r="AC67" s="43">
        <v>43668064.680000015</v>
      </c>
      <c r="AD67" s="43">
        <v>3279701.1700000004</v>
      </c>
      <c r="AE67" s="43">
        <v>-3279701.1700000004</v>
      </c>
      <c r="AF67" s="43">
        <v>16953345.550000012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16953345.550000012</v>
      </c>
      <c r="AM67" s="43">
        <v>0</v>
      </c>
      <c r="AN67" s="43">
        <v>0</v>
      </c>
      <c r="AO67" s="43">
        <v>0</v>
      </c>
      <c r="AP67" s="43">
        <v>78568116.420000002</v>
      </c>
      <c r="AQ67" s="43">
        <v>0</v>
      </c>
      <c r="AR67" s="43">
        <v>0</v>
      </c>
      <c r="AS67" s="43">
        <v>196072.48</v>
      </c>
      <c r="AT67" s="43">
        <v>78372043.939999998</v>
      </c>
      <c r="AU67" s="43">
        <v>0</v>
      </c>
      <c r="AV67" s="43">
        <v>0</v>
      </c>
      <c r="AW67" s="43">
        <v>0</v>
      </c>
      <c r="AX67" s="43">
        <v>455690233.21000046</v>
      </c>
      <c r="AY67" s="43">
        <v>407639554.56000042</v>
      </c>
      <c r="AZ67" s="43">
        <v>0</v>
      </c>
      <c r="BA67" s="43">
        <v>1613011.5900000036</v>
      </c>
      <c r="BB67" s="43">
        <v>46437667.06000001</v>
      </c>
      <c r="BC67" s="43">
        <v>2541213.4499999993</v>
      </c>
      <c r="BD67" s="43">
        <v>0</v>
      </c>
      <c r="BE67" s="43">
        <v>0</v>
      </c>
      <c r="BF67" s="43">
        <v>0</v>
      </c>
      <c r="BG67" s="43">
        <v>2100113.7899999991</v>
      </c>
      <c r="BH67" s="43">
        <v>0</v>
      </c>
      <c r="BI67" s="43">
        <v>0</v>
      </c>
      <c r="BJ67" s="43">
        <v>441099.66000000015</v>
      </c>
      <c r="BK67" s="43">
        <v>0</v>
      </c>
      <c r="BL67" s="43">
        <v>40807780696.779999</v>
      </c>
      <c r="BM67" s="43">
        <v>40322652038.190002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40322652038.190002</v>
      </c>
      <c r="BV67" s="43">
        <v>0</v>
      </c>
      <c r="BW67" s="43">
        <v>0</v>
      </c>
      <c r="BX67" s="43">
        <v>0</v>
      </c>
      <c r="BY67" s="43">
        <v>0</v>
      </c>
      <c r="BZ67" s="43">
        <v>0</v>
      </c>
      <c r="CA67" s="43">
        <v>0</v>
      </c>
      <c r="CB67" s="43">
        <v>0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557152.5</v>
      </c>
      <c r="CI67" s="43">
        <v>0</v>
      </c>
      <c r="CJ67" s="43">
        <v>0</v>
      </c>
      <c r="CK67" s="43">
        <v>557152.5</v>
      </c>
      <c r="CL67" s="43">
        <v>0</v>
      </c>
      <c r="CM67" s="43">
        <v>0</v>
      </c>
      <c r="CN67" s="43">
        <v>0</v>
      </c>
      <c r="CO67" s="43">
        <v>0</v>
      </c>
      <c r="CP67" s="43">
        <v>4709760.2699999996</v>
      </c>
      <c r="CQ67" s="43">
        <v>0</v>
      </c>
      <c r="CR67" s="43">
        <v>4709760.2699999996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0</v>
      </c>
      <c r="CZ67" s="43">
        <v>0</v>
      </c>
      <c r="DA67" s="43">
        <v>76647077.539999992</v>
      </c>
      <c r="DB67" s="43">
        <v>0</v>
      </c>
      <c r="DC67" s="43">
        <v>0</v>
      </c>
      <c r="DD67" s="43">
        <v>0</v>
      </c>
      <c r="DE67" s="43">
        <v>0</v>
      </c>
      <c r="DF67" s="43">
        <v>52967358.530000001</v>
      </c>
      <c r="DG67" s="43">
        <v>0</v>
      </c>
      <c r="DH67" s="43">
        <v>7490463.4799999995</v>
      </c>
      <c r="DI67" s="43">
        <v>98201208.439999998</v>
      </c>
      <c r="DJ67" s="43">
        <v>-82011952.909999996</v>
      </c>
      <c r="DK67" s="43">
        <v>0</v>
      </c>
      <c r="DL67" s="43">
        <v>369653803.04999995</v>
      </c>
      <c r="DM67" s="43">
        <v>917461426.82999992</v>
      </c>
      <c r="DN67" s="43">
        <v>0</v>
      </c>
      <c r="DO67" s="43">
        <v>0</v>
      </c>
      <c r="DP67" s="43">
        <v>0</v>
      </c>
      <c r="DQ67" s="43">
        <v>0</v>
      </c>
      <c r="DR67" s="43">
        <v>-547807623.77999997</v>
      </c>
      <c r="DS67" s="43">
        <v>0</v>
      </c>
      <c r="DT67" s="43">
        <v>157354.63</v>
      </c>
      <c r="DU67" s="43">
        <v>0</v>
      </c>
      <c r="DV67" s="43">
        <v>0</v>
      </c>
      <c r="DW67" s="43">
        <v>157354.63</v>
      </c>
      <c r="DX67" s="43">
        <v>33403510.600000024</v>
      </c>
      <c r="DY67" s="43">
        <v>0</v>
      </c>
      <c r="DZ67" s="43">
        <v>0</v>
      </c>
      <c r="EA67" s="43">
        <v>0</v>
      </c>
      <c r="EB67" s="43">
        <v>0</v>
      </c>
      <c r="EC67" s="43">
        <v>33403510.600000024</v>
      </c>
      <c r="ED67" s="43">
        <v>0</v>
      </c>
      <c r="EE67" s="43">
        <v>0</v>
      </c>
      <c r="EF67" s="43">
        <v>0</v>
      </c>
    </row>
    <row r="68" spans="1:136" ht="13.5" customHeight="1">
      <c r="A68" s="40" t="s">
        <v>186</v>
      </c>
      <c r="B68" s="41">
        <v>3009</v>
      </c>
      <c r="C68" s="42" t="s">
        <v>417</v>
      </c>
      <c r="D68" s="43">
        <v>19713980236.35508</v>
      </c>
      <c r="E68" s="43">
        <v>6827692269.1899996</v>
      </c>
      <c r="F68" s="43">
        <v>0</v>
      </c>
      <c r="G68" s="43">
        <v>0</v>
      </c>
      <c r="H68" s="43">
        <v>6268356721.1899996</v>
      </c>
      <c r="I68" s="43">
        <v>0</v>
      </c>
      <c r="J68" s="43">
        <v>559335548</v>
      </c>
      <c r="K68" s="43">
        <v>0</v>
      </c>
      <c r="L68" s="43">
        <v>10244768667.27</v>
      </c>
      <c r="M68" s="43">
        <v>8396394744.7399998</v>
      </c>
      <c r="N68" s="43">
        <v>151758101.53</v>
      </c>
      <c r="O68" s="43">
        <v>1696615821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1225329411.2350791</v>
      </c>
      <c r="V68" s="43">
        <v>1168554449.6850791</v>
      </c>
      <c r="W68" s="43">
        <v>0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56774961.549999997</v>
      </c>
      <c r="AD68" s="43">
        <v>39189.94</v>
      </c>
      <c r="AE68" s="43">
        <v>-39189.94</v>
      </c>
      <c r="AF68" s="43">
        <v>3673243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3673243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1412093145.6600001</v>
      </c>
      <c r="AY68" s="43">
        <v>1385359406.6600001</v>
      </c>
      <c r="AZ68" s="43">
        <v>0</v>
      </c>
      <c r="BA68" s="43">
        <v>0</v>
      </c>
      <c r="BB68" s="43">
        <v>26733739</v>
      </c>
      <c r="BC68" s="43">
        <v>423500</v>
      </c>
      <c r="BD68" s="43">
        <v>0</v>
      </c>
      <c r="BE68" s="43">
        <v>0</v>
      </c>
      <c r="BF68" s="43">
        <v>0</v>
      </c>
      <c r="BG68" s="43">
        <v>178149</v>
      </c>
      <c r="BH68" s="43">
        <v>0</v>
      </c>
      <c r="BI68" s="43">
        <v>0</v>
      </c>
      <c r="BJ68" s="43">
        <v>245351</v>
      </c>
      <c r="BK68" s="43">
        <v>0</v>
      </c>
      <c r="BL68" s="43">
        <v>7952009958.1399994</v>
      </c>
      <c r="BM68" s="43">
        <v>7248896398.7599993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7248896398.7599993</v>
      </c>
      <c r="BV68" s="43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15540889</v>
      </c>
      <c r="CI68" s="43">
        <v>0</v>
      </c>
      <c r="CJ68" s="43">
        <v>0</v>
      </c>
      <c r="CK68" s="43">
        <v>15540889</v>
      </c>
      <c r="CL68" s="43">
        <v>0</v>
      </c>
      <c r="CM68" s="43">
        <v>0</v>
      </c>
      <c r="CN68" s="43">
        <v>0</v>
      </c>
      <c r="CO68" s="43">
        <v>0</v>
      </c>
      <c r="CP68" s="43">
        <v>4808429</v>
      </c>
      <c r="CQ68" s="43">
        <v>4808429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184238174.31999996</v>
      </c>
      <c r="DB68" s="43">
        <v>0</v>
      </c>
      <c r="DC68" s="43">
        <v>0</v>
      </c>
      <c r="DD68" s="43">
        <v>0</v>
      </c>
      <c r="DE68" s="43">
        <v>0</v>
      </c>
      <c r="DF68" s="43">
        <v>58519808</v>
      </c>
      <c r="DG68" s="43">
        <v>65275000</v>
      </c>
      <c r="DH68" s="43">
        <v>12499255</v>
      </c>
      <c r="DI68" s="43">
        <v>136256032.78</v>
      </c>
      <c r="DJ68" s="43">
        <v>-88311921.460000008</v>
      </c>
      <c r="DK68" s="43">
        <v>0</v>
      </c>
      <c r="DL68" s="43">
        <v>150407750</v>
      </c>
      <c r="DM68" s="43">
        <v>421481372</v>
      </c>
      <c r="DN68" s="43">
        <v>0</v>
      </c>
      <c r="DO68" s="43">
        <v>0</v>
      </c>
      <c r="DP68" s="43">
        <v>0</v>
      </c>
      <c r="DQ68" s="43">
        <v>0</v>
      </c>
      <c r="DR68" s="43">
        <v>-271073622</v>
      </c>
      <c r="DS68" s="43">
        <v>0</v>
      </c>
      <c r="DT68" s="43">
        <v>348118317.06</v>
      </c>
      <c r="DU68" s="43">
        <v>348118317.06</v>
      </c>
      <c r="DV68" s="43">
        <v>0</v>
      </c>
      <c r="DW68" s="43">
        <v>0</v>
      </c>
      <c r="DX68" s="43">
        <v>0</v>
      </c>
      <c r="DY68" s="43">
        <v>0</v>
      </c>
      <c r="DZ68" s="43">
        <v>0</v>
      </c>
      <c r="EA68" s="43">
        <v>0</v>
      </c>
      <c r="EB68" s="43">
        <v>0</v>
      </c>
      <c r="EC68" s="43">
        <v>0</v>
      </c>
      <c r="ED68" s="43">
        <v>0</v>
      </c>
      <c r="EE68" s="43">
        <v>0</v>
      </c>
      <c r="EF68" s="43">
        <v>0</v>
      </c>
    </row>
    <row r="69" spans="1:136" ht="13.5" customHeight="1">
      <c r="A69" s="40" t="s">
        <v>188</v>
      </c>
      <c r="B69" s="41">
        <v>3011</v>
      </c>
      <c r="C69" s="42" t="s">
        <v>417</v>
      </c>
      <c r="D69" s="43">
        <v>4873634931.4299974</v>
      </c>
      <c r="E69" s="43">
        <v>1649264051.3099978</v>
      </c>
      <c r="F69" s="43">
        <v>0</v>
      </c>
      <c r="G69" s="43">
        <v>0</v>
      </c>
      <c r="H69" s="43">
        <v>1366618301.5399978</v>
      </c>
      <c r="I69" s="43">
        <v>0</v>
      </c>
      <c r="J69" s="43">
        <v>282645749.76999998</v>
      </c>
      <c r="K69" s="43">
        <v>0</v>
      </c>
      <c r="L69" s="43">
        <v>921860390.97999978</v>
      </c>
      <c r="M69" s="43">
        <v>232070867.69</v>
      </c>
      <c r="N69" s="43">
        <v>0</v>
      </c>
      <c r="O69" s="43">
        <v>275606866.38999969</v>
      </c>
      <c r="P69" s="43">
        <v>0</v>
      </c>
      <c r="Q69" s="43">
        <v>0</v>
      </c>
      <c r="R69" s="43">
        <v>414182656.9000001</v>
      </c>
      <c r="S69" s="43">
        <v>0</v>
      </c>
      <c r="T69" s="43">
        <v>0</v>
      </c>
      <c r="U69" s="43">
        <v>896170790.09000003</v>
      </c>
      <c r="V69" s="43">
        <v>795259020.1400001</v>
      </c>
      <c r="W69" s="43">
        <v>0</v>
      </c>
      <c r="X69" s="43">
        <v>0</v>
      </c>
      <c r="Y69" s="43">
        <v>0</v>
      </c>
      <c r="Z69" s="43">
        <v>0</v>
      </c>
      <c r="AA69" s="43">
        <v>0</v>
      </c>
      <c r="AB69" s="43">
        <v>0</v>
      </c>
      <c r="AC69" s="43">
        <v>100911769.94999994</v>
      </c>
      <c r="AD69" s="43">
        <v>0</v>
      </c>
      <c r="AE69" s="43">
        <v>0</v>
      </c>
      <c r="AF69" s="43">
        <v>5821288.5700000003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5821288.5700000003</v>
      </c>
      <c r="AM69" s="43">
        <v>0</v>
      </c>
      <c r="AN69" s="43">
        <v>0</v>
      </c>
      <c r="AO69" s="43">
        <v>0</v>
      </c>
      <c r="AP69" s="43">
        <v>75397.89000000013</v>
      </c>
      <c r="AQ69" s="43">
        <v>0</v>
      </c>
      <c r="AR69" s="43">
        <v>0</v>
      </c>
      <c r="AS69" s="43">
        <v>0</v>
      </c>
      <c r="AT69" s="43">
        <v>75397.89000000013</v>
      </c>
      <c r="AU69" s="43">
        <v>0</v>
      </c>
      <c r="AV69" s="43">
        <v>0</v>
      </c>
      <c r="AW69" s="43">
        <v>0</v>
      </c>
      <c r="AX69" s="43">
        <v>1400364596.27</v>
      </c>
      <c r="AY69" s="43">
        <v>1353239723.1099999</v>
      </c>
      <c r="AZ69" s="43">
        <v>0</v>
      </c>
      <c r="BA69" s="43">
        <v>0</v>
      </c>
      <c r="BB69" s="43">
        <v>47124873.160000004</v>
      </c>
      <c r="BC69" s="43">
        <v>78416.320000000065</v>
      </c>
      <c r="BD69" s="43">
        <v>68000</v>
      </c>
      <c r="BE69" s="43">
        <v>0</v>
      </c>
      <c r="BF69" s="43">
        <v>0</v>
      </c>
      <c r="BG69" s="43">
        <v>10416.320000000065</v>
      </c>
      <c r="BH69" s="43">
        <v>0</v>
      </c>
      <c r="BI69" s="43">
        <v>0</v>
      </c>
      <c r="BJ69" s="43">
        <v>0</v>
      </c>
      <c r="BK69" s="43">
        <v>0</v>
      </c>
      <c r="BL69" s="43">
        <v>38986609911.349998</v>
      </c>
      <c r="BM69" s="43">
        <v>38804439048.089996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38804439048.089996</v>
      </c>
      <c r="BV69" s="43">
        <v>920798.23</v>
      </c>
      <c r="BW69" s="43">
        <v>-920798.23</v>
      </c>
      <c r="BX69" s="43">
        <v>0</v>
      </c>
      <c r="BY69" s="43">
        <v>0</v>
      </c>
      <c r="BZ69" s="43">
        <v>0</v>
      </c>
      <c r="CA69" s="43">
        <v>0</v>
      </c>
      <c r="CB69" s="43">
        <v>0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1161538.8300000003</v>
      </c>
      <c r="CI69" s="43">
        <v>0</v>
      </c>
      <c r="CJ69" s="43">
        <v>0</v>
      </c>
      <c r="CK69" s="43">
        <v>1161538.83</v>
      </c>
      <c r="CL69" s="43">
        <v>0</v>
      </c>
      <c r="CM69" s="43">
        <v>0</v>
      </c>
      <c r="CN69" s="43">
        <v>1079683.95</v>
      </c>
      <c r="CO69" s="43">
        <v>-1079683.95</v>
      </c>
      <c r="CP69" s="43">
        <v>4859721.03</v>
      </c>
      <c r="CQ69" s="43">
        <v>0</v>
      </c>
      <c r="CR69" s="43">
        <v>4859721.03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27359317.75</v>
      </c>
      <c r="DB69" s="43">
        <v>0</v>
      </c>
      <c r="DC69" s="43">
        <v>0</v>
      </c>
      <c r="DD69" s="43">
        <v>0</v>
      </c>
      <c r="DE69" s="43">
        <v>0</v>
      </c>
      <c r="DF69" s="43">
        <v>16262787.27</v>
      </c>
      <c r="DG69" s="43">
        <v>9832478.6199999992</v>
      </c>
      <c r="DH69" s="43">
        <v>1510583.7</v>
      </c>
      <c r="DI69" s="43">
        <v>2370183.2200000002</v>
      </c>
      <c r="DJ69" s="43">
        <v>-18634147.98</v>
      </c>
      <c r="DK69" s="43">
        <v>16017432.92</v>
      </c>
      <c r="DL69" s="43">
        <v>119854113.69</v>
      </c>
      <c r="DM69" s="43">
        <v>0</v>
      </c>
      <c r="DN69" s="43">
        <v>0</v>
      </c>
      <c r="DO69" s="43">
        <v>0</v>
      </c>
      <c r="DP69" s="43">
        <v>0</v>
      </c>
      <c r="DQ69" s="43">
        <v>210920981.50999999</v>
      </c>
      <c r="DR69" s="43">
        <v>-91066867.819999993</v>
      </c>
      <c r="DS69" s="43">
        <v>0</v>
      </c>
      <c r="DT69" s="43">
        <v>4158544.3599999994</v>
      </c>
      <c r="DU69" s="43">
        <v>4158544.3599999994</v>
      </c>
      <c r="DV69" s="43">
        <v>0</v>
      </c>
      <c r="DW69" s="43">
        <v>0</v>
      </c>
      <c r="DX69" s="43">
        <v>24777627.600000001</v>
      </c>
      <c r="DY69" s="43">
        <v>0</v>
      </c>
      <c r="DZ69" s="43">
        <v>0</v>
      </c>
      <c r="EA69" s="43">
        <v>0</v>
      </c>
      <c r="EB69" s="43">
        <v>0</v>
      </c>
      <c r="EC69" s="43">
        <v>24777627.600000001</v>
      </c>
      <c r="ED69" s="43">
        <v>0</v>
      </c>
      <c r="EE69" s="43">
        <v>0</v>
      </c>
      <c r="EF69" s="43">
        <v>0</v>
      </c>
    </row>
    <row r="70" spans="1:136" ht="13.5" customHeight="1">
      <c r="A70" s="40" t="s">
        <v>191</v>
      </c>
      <c r="B70" s="41">
        <v>3012</v>
      </c>
      <c r="C70" s="42" t="s">
        <v>417</v>
      </c>
      <c r="D70" s="43">
        <v>412062150151.94</v>
      </c>
      <c r="E70" s="43">
        <v>15978816613.100002</v>
      </c>
      <c r="F70" s="43">
        <v>0</v>
      </c>
      <c r="G70" s="43">
        <v>0</v>
      </c>
      <c r="H70" s="43">
        <v>12925062794.330002</v>
      </c>
      <c r="I70" s="43">
        <v>0</v>
      </c>
      <c r="J70" s="43">
        <v>3053753818.77</v>
      </c>
      <c r="K70" s="43">
        <v>0</v>
      </c>
      <c r="L70" s="43">
        <v>13868565408.08</v>
      </c>
      <c r="M70" s="43">
        <v>8224279090.6199999</v>
      </c>
      <c r="N70" s="43">
        <v>1435791771.52</v>
      </c>
      <c r="O70" s="43">
        <v>4042077196.4500003</v>
      </c>
      <c r="P70" s="43">
        <v>0</v>
      </c>
      <c r="Q70" s="43">
        <v>0</v>
      </c>
      <c r="R70" s="43">
        <v>166417349.49000001</v>
      </c>
      <c r="S70" s="43">
        <v>0</v>
      </c>
      <c r="T70" s="43">
        <v>0</v>
      </c>
      <c r="U70" s="43">
        <v>379178169056.52002</v>
      </c>
      <c r="V70" s="43">
        <v>1380219891.6000001</v>
      </c>
      <c r="W70" s="43">
        <v>-382653.01</v>
      </c>
      <c r="X70" s="43">
        <v>0</v>
      </c>
      <c r="Y70" s="43">
        <v>0</v>
      </c>
      <c r="Z70" s="43">
        <v>0</v>
      </c>
      <c r="AA70" s="43">
        <v>0</v>
      </c>
      <c r="AB70" s="43">
        <v>0</v>
      </c>
      <c r="AC70" s="43">
        <v>377798331817.92999</v>
      </c>
      <c r="AD70" s="43">
        <v>0</v>
      </c>
      <c r="AE70" s="43">
        <v>0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744489</v>
      </c>
      <c r="AQ70" s="43">
        <v>0</v>
      </c>
      <c r="AR70" s="43">
        <v>0</v>
      </c>
      <c r="AS70" s="43">
        <v>437874.43</v>
      </c>
      <c r="AT70" s="43">
        <v>306614.57</v>
      </c>
      <c r="AU70" s="43">
        <v>0</v>
      </c>
      <c r="AV70" s="43">
        <v>0</v>
      </c>
      <c r="AW70" s="43">
        <v>0</v>
      </c>
      <c r="AX70" s="43">
        <v>3035756813.4699998</v>
      </c>
      <c r="AY70" s="43">
        <v>2775157682.0299997</v>
      </c>
      <c r="AZ70" s="43">
        <v>0</v>
      </c>
      <c r="BA70" s="43">
        <v>184698636</v>
      </c>
      <c r="BB70" s="43">
        <v>75900495.439999998</v>
      </c>
      <c r="BC70" s="43">
        <v>97771.76999999999</v>
      </c>
      <c r="BD70" s="43">
        <v>0</v>
      </c>
      <c r="BE70" s="43">
        <v>0</v>
      </c>
      <c r="BF70" s="43">
        <v>0</v>
      </c>
      <c r="BG70" s="43">
        <v>50000</v>
      </c>
      <c r="BH70" s="43">
        <v>47771.77</v>
      </c>
      <c r="BI70" s="43">
        <v>0</v>
      </c>
      <c r="BJ70" s="43">
        <v>0</v>
      </c>
      <c r="BK70" s="43">
        <v>0</v>
      </c>
      <c r="BL70" s="43">
        <v>579582176.75000012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3">
        <v>0</v>
      </c>
      <c r="BW70" s="43">
        <v>0</v>
      </c>
      <c r="BX70" s="43">
        <v>0</v>
      </c>
      <c r="BY70" s="43">
        <v>0</v>
      </c>
      <c r="BZ70" s="43">
        <v>0</v>
      </c>
      <c r="CA70" s="43">
        <v>0</v>
      </c>
      <c r="CB70" s="43">
        <v>0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18305816.989999995</v>
      </c>
      <c r="DB70" s="43">
        <v>0</v>
      </c>
      <c r="DC70" s="43">
        <v>0</v>
      </c>
      <c r="DD70" s="43">
        <v>0</v>
      </c>
      <c r="DE70" s="43">
        <v>0</v>
      </c>
      <c r="DF70" s="43">
        <v>14483295.880000001</v>
      </c>
      <c r="DG70" s="43">
        <v>7610557.5</v>
      </c>
      <c r="DH70" s="43">
        <v>453474.36</v>
      </c>
      <c r="DI70" s="43">
        <v>48497785.079999998</v>
      </c>
      <c r="DJ70" s="43">
        <v>-52739295.829999998</v>
      </c>
      <c r="DK70" s="43">
        <v>0</v>
      </c>
      <c r="DL70" s="43">
        <v>480541053.53000009</v>
      </c>
      <c r="DM70" s="43">
        <v>334370.7</v>
      </c>
      <c r="DN70" s="43">
        <v>0</v>
      </c>
      <c r="DO70" s="43">
        <v>0</v>
      </c>
      <c r="DP70" s="43">
        <v>0</v>
      </c>
      <c r="DQ70" s="43">
        <v>1079790893.1700001</v>
      </c>
      <c r="DR70" s="43">
        <v>-599584210.34000003</v>
      </c>
      <c r="DS70" s="43">
        <v>0</v>
      </c>
      <c r="DT70" s="43">
        <v>0</v>
      </c>
      <c r="DU70" s="43">
        <v>0</v>
      </c>
      <c r="DV70" s="43">
        <v>0</v>
      </c>
      <c r="DW70" s="43">
        <v>0</v>
      </c>
      <c r="DX70" s="43">
        <v>80735306.230000004</v>
      </c>
      <c r="DY70" s="43">
        <v>0</v>
      </c>
      <c r="DZ70" s="43">
        <v>0</v>
      </c>
      <c r="EA70" s="43">
        <v>0</v>
      </c>
      <c r="EB70" s="43">
        <v>0</v>
      </c>
      <c r="EC70" s="43">
        <v>80735306.230000004</v>
      </c>
      <c r="ED70" s="43">
        <v>0</v>
      </c>
      <c r="EE70" s="43">
        <v>0</v>
      </c>
      <c r="EF70" s="43">
        <v>0</v>
      </c>
    </row>
    <row r="71" spans="1:136" ht="13.5" customHeight="1">
      <c r="A71" s="40" t="s">
        <v>194</v>
      </c>
      <c r="B71" s="41">
        <v>3016</v>
      </c>
      <c r="C71" s="42" t="s">
        <v>417</v>
      </c>
      <c r="D71" s="43">
        <v>7082616409.7078609</v>
      </c>
      <c r="E71" s="43">
        <v>1897486253.5478609</v>
      </c>
      <c r="F71" s="43">
        <v>0</v>
      </c>
      <c r="G71" s="43">
        <v>0</v>
      </c>
      <c r="H71" s="43">
        <v>1532387397.2878609</v>
      </c>
      <c r="I71" s="43">
        <v>0</v>
      </c>
      <c r="J71" s="43">
        <v>365098856.25999999</v>
      </c>
      <c r="K71" s="43">
        <v>0</v>
      </c>
      <c r="L71" s="43">
        <v>3924990307.9899998</v>
      </c>
      <c r="M71" s="43">
        <v>2218981601.54</v>
      </c>
      <c r="N71" s="43">
        <v>0</v>
      </c>
      <c r="O71" s="43">
        <v>1706008706.45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770546316.20999992</v>
      </c>
      <c r="V71" s="43">
        <v>689380811.75</v>
      </c>
      <c r="W71" s="43">
        <v>-10560861.6</v>
      </c>
      <c r="X71" s="43">
        <v>15572404.779999999</v>
      </c>
      <c r="Y71" s="43">
        <v>0</v>
      </c>
      <c r="Z71" s="43">
        <v>0</v>
      </c>
      <c r="AA71" s="43">
        <v>0</v>
      </c>
      <c r="AB71" s="43">
        <v>0</v>
      </c>
      <c r="AC71" s="43">
        <v>76153961.280000001</v>
      </c>
      <c r="AD71" s="43">
        <v>0</v>
      </c>
      <c r="AE71" s="43">
        <v>0</v>
      </c>
      <c r="AF71" s="43">
        <v>1386877.87</v>
      </c>
      <c r="AG71" s="43">
        <v>0</v>
      </c>
      <c r="AH71" s="43">
        <v>0</v>
      </c>
      <c r="AI71" s="43">
        <v>0</v>
      </c>
      <c r="AJ71" s="43">
        <v>0</v>
      </c>
      <c r="AK71" s="43">
        <v>1386877.87</v>
      </c>
      <c r="AL71" s="43">
        <v>0</v>
      </c>
      <c r="AM71" s="43">
        <v>0</v>
      </c>
      <c r="AN71" s="43">
        <v>0</v>
      </c>
      <c r="AO71" s="43">
        <v>0</v>
      </c>
      <c r="AP71" s="43">
        <v>9598444.0800000001</v>
      </c>
      <c r="AQ71" s="43">
        <v>0</v>
      </c>
      <c r="AR71" s="43">
        <v>0</v>
      </c>
      <c r="AS71" s="43">
        <v>0</v>
      </c>
      <c r="AT71" s="43">
        <v>9598444.0800000001</v>
      </c>
      <c r="AU71" s="43">
        <v>0</v>
      </c>
      <c r="AV71" s="43">
        <v>0</v>
      </c>
      <c r="AW71" s="43">
        <v>0</v>
      </c>
      <c r="AX71" s="43">
        <v>463095063.60000002</v>
      </c>
      <c r="AY71" s="43">
        <v>327064594.05000001</v>
      </c>
      <c r="AZ71" s="43">
        <v>0</v>
      </c>
      <c r="BA71" s="43">
        <v>0</v>
      </c>
      <c r="BB71" s="43">
        <v>136030469.55000001</v>
      </c>
      <c r="BC71" s="43">
        <v>15513146.41</v>
      </c>
      <c r="BD71" s="43">
        <v>0</v>
      </c>
      <c r="BE71" s="43">
        <v>0</v>
      </c>
      <c r="BF71" s="43">
        <v>0</v>
      </c>
      <c r="BG71" s="43">
        <v>15513146.41</v>
      </c>
      <c r="BH71" s="43">
        <v>0</v>
      </c>
      <c r="BI71" s="43">
        <v>0</v>
      </c>
      <c r="BJ71" s="43">
        <v>0</v>
      </c>
      <c r="BK71" s="43">
        <v>0</v>
      </c>
      <c r="BL71" s="43">
        <v>73546162630.520004</v>
      </c>
      <c r="BM71" s="43">
        <v>72855370952.320007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0</v>
      </c>
      <c r="BU71" s="43">
        <v>72855370952.320007</v>
      </c>
      <c r="BV71" s="43">
        <v>0</v>
      </c>
      <c r="BW71" s="43">
        <v>0</v>
      </c>
      <c r="BX71" s="43">
        <v>0</v>
      </c>
      <c r="BY71" s="43">
        <v>0</v>
      </c>
      <c r="BZ71" s="43">
        <v>0</v>
      </c>
      <c r="CA71" s="43">
        <v>0</v>
      </c>
      <c r="CB71" s="43">
        <v>0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136150</v>
      </c>
      <c r="CI71" s="43">
        <v>0</v>
      </c>
      <c r="CJ71" s="43">
        <v>0</v>
      </c>
      <c r="CK71" s="43">
        <v>136150</v>
      </c>
      <c r="CL71" s="43">
        <v>0</v>
      </c>
      <c r="CM71" s="43">
        <v>0</v>
      </c>
      <c r="CN71" s="43">
        <v>0</v>
      </c>
      <c r="CO71" s="43">
        <v>0</v>
      </c>
      <c r="CP71" s="43">
        <v>4891118.9800000004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4891118.9800000004</v>
      </c>
      <c r="CZ71" s="43">
        <v>0</v>
      </c>
      <c r="DA71" s="43">
        <v>152964198.67000002</v>
      </c>
      <c r="DB71" s="43">
        <v>0</v>
      </c>
      <c r="DC71" s="43">
        <v>0</v>
      </c>
      <c r="DD71" s="43">
        <v>0</v>
      </c>
      <c r="DE71" s="43">
        <v>0</v>
      </c>
      <c r="DF71" s="43">
        <v>87517085.019999996</v>
      </c>
      <c r="DG71" s="43">
        <v>122831191.55</v>
      </c>
      <c r="DH71" s="43">
        <v>16743579.720000001</v>
      </c>
      <c r="DI71" s="43">
        <v>63486391.640000001</v>
      </c>
      <c r="DJ71" s="43">
        <v>-137614049.25999999</v>
      </c>
      <c r="DK71" s="43">
        <v>0</v>
      </c>
      <c r="DL71" s="43">
        <v>458573196.63</v>
      </c>
      <c r="DM71" s="43">
        <v>0</v>
      </c>
      <c r="DN71" s="43">
        <v>0</v>
      </c>
      <c r="DO71" s="43">
        <v>0</v>
      </c>
      <c r="DP71" s="43">
        <v>0</v>
      </c>
      <c r="DQ71" s="43">
        <v>430982652.44999999</v>
      </c>
      <c r="DR71" s="43">
        <v>-147083028.38</v>
      </c>
      <c r="DS71" s="43">
        <v>174673572.56</v>
      </c>
      <c r="DT71" s="43">
        <v>4998437.76</v>
      </c>
      <c r="DU71" s="43">
        <v>0</v>
      </c>
      <c r="DV71" s="43">
        <v>0</v>
      </c>
      <c r="DW71" s="43">
        <v>4998437.76</v>
      </c>
      <c r="DX71" s="43">
        <v>69228576.159999996</v>
      </c>
      <c r="DY71" s="43">
        <v>0</v>
      </c>
      <c r="DZ71" s="43">
        <v>0</v>
      </c>
      <c r="EA71" s="43">
        <v>0</v>
      </c>
      <c r="EB71" s="43">
        <v>0</v>
      </c>
      <c r="EC71" s="43">
        <v>69228576.159999996</v>
      </c>
      <c r="ED71" s="43">
        <v>0</v>
      </c>
      <c r="EE71" s="43">
        <v>0</v>
      </c>
      <c r="EF71" s="43">
        <v>0</v>
      </c>
    </row>
    <row r="72" spans="1:136" ht="13.5" customHeight="1">
      <c r="A72" s="40" t="s">
        <v>197</v>
      </c>
      <c r="B72" s="41">
        <v>3017</v>
      </c>
      <c r="C72" s="42" t="s">
        <v>417</v>
      </c>
      <c r="D72" s="43">
        <v>46345061526.780022</v>
      </c>
      <c r="E72" s="43">
        <v>5373471314.1599998</v>
      </c>
      <c r="F72" s="43">
        <v>0</v>
      </c>
      <c r="G72" s="43">
        <v>0</v>
      </c>
      <c r="H72" s="43">
        <v>4883140587.4200001</v>
      </c>
      <c r="I72" s="43">
        <v>0</v>
      </c>
      <c r="J72" s="43">
        <v>490330726.38</v>
      </c>
      <c r="K72" s="43">
        <v>0.36</v>
      </c>
      <c r="L72" s="43">
        <v>6073059243.6100006</v>
      </c>
      <c r="M72" s="43">
        <v>5681884756.4200001</v>
      </c>
      <c r="N72" s="43">
        <v>0</v>
      </c>
      <c r="O72" s="43">
        <v>0</v>
      </c>
      <c r="P72" s="43">
        <v>0</v>
      </c>
      <c r="Q72" s="43">
        <v>0</v>
      </c>
      <c r="R72" s="43">
        <v>391174487.19000006</v>
      </c>
      <c r="S72" s="43">
        <v>0</v>
      </c>
      <c r="T72" s="43">
        <v>0</v>
      </c>
      <c r="U72" s="43">
        <v>31690235608.600018</v>
      </c>
      <c r="V72" s="43">
        <v>2626387209.7700005</v>
      </c>
      <c r="W72" s="43">
        <v>0</v>
      </c>
      <c r="X72" s="43">
        <v>0</v>
      </c>
      <c r="Y72" s="43">
        <v>0</v>
      </c>
      <c r="Z72" s="43">
        <v>0</v>
      </c>
      <c r="AA72" s="43">
        <v>0</v>
      </c>
      <c r="AB72" s="43">
        <v>0</v>
      </c>
      <c r="AC72" s="43">
        <v>29063848398.830017</v>
      </c>
      <c r="AD72" s="43">
        <v>35402363.579999998</v>
      </c>
      <c r="AE72" s="43">
        <v>-35402363.579999998</v>
      </c>
      <c r="AF72" s="43">
        <v>11508034.359999999</v>
      </c>
      <c r="AG72" s="43">
        <v>0</v>
      </c>
      <c r="AH72" s="43">
        <v>0</v>
      </c>
      <c r="AI72" s="43">
        <v>0</v>
      </c>
      <c r="AJ72" s="43">
        <v>0</v>
      </c>
      <c r="AK72" s="43">
        <v>262729.68</v>
      </c>
      <c r="AL72" s="43">
        <v>11245304.68</v>
      </c>
      <c r="AM72" s="43">
        <v>0</v>
      </c>
      <c r="AN72" s="43">
        <v>0</v>
      </c>
      <c r="AO72" s="43">
        <v>0</v>
      </c>
      <c r="AP72" s="43">
        <v>1262925.1599999999</v>
      </c>
      <c r="AQ72" s="43">
        <v>0</v>
      </c>
      <c r="AR72" s="43">
        <v>0</v>
      </c>
      <c r="AS72" s="43">
        <v>1262925.1599999999</v>
      </c>
      <c r="AT72" s="43">
        <v>0</v>
      </c>
      <c r="AU72" s="43">
        <v>0</v>
      </c>
      <c r="AV72" s="43">
        <v>0</v>
      </c>
      <c r="AW72" s="43">
        <v>0</v>
      </c>
      <c r="AX72" s="43">
        <v>3109126239.1700001</v>
      </c>
      <c r="AY72" s="43">
        <v>3009051168.04</v>
      </c>
      <c r="AZ72" s="43">
        <v>0</v>
      </c>
      <c r="BA72" s="43">
        <v>0</v>
      </c>
      <c r="BB72" s="43">
        <v>100075071.13</v>
      </c>
      <c r="BC72" s="43">
        <v>86398161.719999999</v>
      </c>
      <c r="BD72" s="43">
        <v>0</v>
      </c>
      <c r="BE72" s="43">
        <v>86313665.719999999</v>
      </c>
      <c r="BF72" s="43">
        <v>0</v>
      </c>
      <c r="BG72" s="43">
        <v>84496</v>
      </c>
      <c r="BH72" s="43">
        <v>0</v>
      </c>
      <c r="BI72" s="43">
        <v>0</v>
      </c>
      <c r="BJ72" s="43">
        <v>0</v>
      </c>
      <c r="BK72" s="43">
        <v>0</v>
      </c>
      <c r="BL72" s="43">
        <v>807143384.30999994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0</v>
      </c>
      <c r="CB72" s="43">
        <v>0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4843757.59</v>
      </c>
      <c r="CQ72" s="43">
        <v>0</v>
      </c>
      <c r="CR72" s="43">
        <v>4843757.59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159855200.01999998</v>
      </c>
      <c r="DB72" s="43">
        <v>0</v>
      </c>
      <c r="DC72" s="43">
        <v>0</v>
      </c>
      <c r="DD72" s="43">
        <v>0</v>
      </c>
      <c r="DE72" s="43">
        <v>0</v>
      </c>
      <c r="DF72" s="43">
        <v>162681819.27999997</v>
      </c>
      <c r="DG72" s="43">
        <v>0</v>
      </c>
      <c r="DH72" s="43">
        <v>3122541.6</v>
      </c>
      <c r="DI72" s="43">
        <v>159312190.38999999</v>
      </c>
      <c r="DJ72" s="43">
        <v>-165261351.25</v>
      </c>
      <c r="DK72" s="43">
        <v>0</v>
      </c>
      <c r="DL72" s="43">
        <v>563946337.81999993</v>
      </c>
      <c r="DM72" s="43">
        <v>595907946.64999998</v>
      </c>
      <c r="DN72" s="43">
        <v>30973061.02</v>
      </c>
      <c r="DO72" s="43">
        <v>0</v>
      </c>
      <c r="DP72" s="43">
        <v>0</v>
      </c>
      <c r="DQ72" s="43">
        <v>387770219.94</v>
      </c>
      <c r="DR72" s="43">
        <v>-523556465.60000002</v>
      </c>
      <c r="DS72" s="43">
        <v>72851575.810000002</v>
      </c>
      <c r="DT72" s="43">
        <v>0</v>
      </c>
      <c r="DU72" s="43">
        <v>0</v>
      </c>
      <c r="DV72" s="43">
        <v>0</v>
      </c>
      <c r="DW72" s="43">
        <v>0</v>
      </c>
      <c r="DX72" s="43">
        <v>78498088.879999995</v>
      </c>
      <c r="DY72" s="43">
        <v>0</v>
      </c>
      <c r="DZ72" s="43">
        <v>0</v>
      </c>
      <c r="EA72" s="43">
        <v>0</v>
      </c>
      <c r="EB72" s="43">
        <v>0</v>
      </c>
      <c r="EC72" s="43">
        <v>78498088.879999995</v>
      </c>
      <c r="ED72" s="43">
        <v>0</v>
      </c>
      <c r="EE72" s="43">
        <v>0</v>
      </c>
      <c r="EF72" s="43">
        <v>0</v>
      </c>
    </row>
    <row r="73" spans="1:136" ht="13.5" customHeight="1">
      <c r="A73" s="40" t="s">
        <v>14</v>
      </c>
      <c r="B73" s="41">
        <v>3018</v>
      </c>
      <c r="C73" s="42" t="s">
        <v>417</v>
      </c>
      <c r="D73" s="43">
        <v>79221022933.470016</v>
      </c>
      <c r="E73" s="43">
        <v>4716238238.8600006</v>
      </c>
      <c r="F73" s="43">
        <v>0</v>
      </c>
      <c r="G73" s="43">
        <v>0</v>
      </c>
      <c r="H73" s="43">
        <v>2509535786.48</v>
      </c>
      <c r="I73" s="43">
        <v>0</v>
      </c>
      <c r="J73" s="43">
        <v>2206702452.3800001</v>
      </c>
      <c r="K73" s="43">
        <v>0</v>
      </c>
      <c r="L73" s="43">
        <v>61870285663.140007</v>
      </c>
      <c r="M73" s="43">
        <v>27151688845.560001</v>
      </c>
      <c r="N73" s="43">
        <v>6672372054.8899994</v>
      </c>
      <c r="O73" s="43">
        <v>27421695363.540005</v>
      </c>
      <c r="P73" s="43">
        <v>0</v>
      </c>
      <c r="Q73" s="43">
        <v>0</v>
      </c>
      <c r="R73" s="43">
        <v>624529399.14999998</v>
      </c>
      <c r="S73" s="43">
        <v>0</v>
      </c>
      <c r="T73" s="43">
        <v>0</v>
      </c>
      <c r="U73" s="43">
        <v>7796806518.1699982</v>
      </c>
      <c r="V73" s="43">
        <v>7128808690.9199982</v>
      </c>
      <c r="W73" s="43">
        <v>-24159328.57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692157155.81999969</v>
      </c>
      <c r="AD73" s="43">
        <v>0</v>
      </c>
      <c r="AE73" s="43">
        <v>0</v>
      </c>
      <c r="AF73" s="43">
        <v>0</v>
      </c>
      <c r="AG73" s="43">
        <v>0</v>
      </c>
      <c r="AH73" s="43">
        <v>0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179432.05000000002</v>
      </c>
      <c r="AQ73" s="43">
        <v>0</v>
      </c>
      <c r="AR73" s="43">
        <v>0</v>
      </c>
      <c r="AS73" s="43">
        <v>0</v>
      </c>
      <c r="AT73" s="43">
        <v>179432.05000000002</v>
      </c>
      <c r="AU73" s="43">
        <v>0</v>
      </c>
      <c r="AV73" s="43">
        <v>0</v>
      </c>
      <c r="AW73" s="43">
        <v>0</v>
      </c>
      <c r="AX73" s="43">
        <v>4526696196.9200001</v>
      </c>
      <c r="AY73" s="43">
        <v>4241701034.5899997</v>
      </c>
      <c r="AZ73" s="43">
        <v>0</v>
      </c>
      <c r="BA73" s="43">
        <v>0</v>
      </c>
      <c r="BB73" s="43">
        <v>284995162.32999998</v>
      </c>
      <c r="BC73" s="43">
        <v>310816884.32999969</v>
      </c>
      <c r="BD73" s="43">
        <v>0</v>
      </c>
      <c r="BE73" s="43">
        <v>0</v>
      </c>
      <c r="BF73" s="43">
        <v>0</v>
      </c>
      <c r="BG73" s="43">
        <v>310500530.81</v>
      </c>
      <c r="BH73" s="43">
        <v>316353.52</v>
      </c>
      <c r="BI73" s="43">
        <v>0</v>
      </c>
      <c r="BJ73" s="43">
        <v>-2.6822090148925781E-7</v>
      </c>
      <c r="BK73" s="43">
        <v>0</v>
      </c>
      <c r="BL73" s="43">
        <v>519142832066.99017</v>
      </c>
      <c r="BM73" s="43">
        <v>516371625584.38013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516371625584.38013</v>
      </c>
      <c r="BV73" s="43">
        <v>0</v>
      </c>
      <c r="BW73" s="43">
        <v>0</v>
      </c>
      <c r="BX73" s="43">
        <v>0</v>
      </c>
      <c r="BY73" s="43">
        <v>0</v>
      </c>
      <c r="BZ73" s="43">
        <v>0</v>
      </c>
      <c r="CA73" s="43">
        <v>0</v>
      </c>
      <c r="CB73" s="43">
        <v>0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841949.32000000007</v>
      </c>
      <c r="CI73" s="43">
        <v>0</v>
      </c>
      <c r="CJ73" s="43">
        <v>0</v>
      </c>
      <c r="CK73" s="43">
        <v>841949.32000000007</v>
      </c>
      <c r="CL73" s="43">
        <v>0</v>
      </c>
      <c r="CM73" s="43">
        <v>0</v>
      </c>
      <c r="CN73" s="43">
        <v>0</v>
      </c>
      <c r="CO73" s="43">
        <v>0</v>
      </c>
      <c r="CP73" s="43">
        <v>4740324.63</v>
      </c>
      <c r="CQ73" s="43">
        <v>4740324.63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1502571462.5099995</v>
      </c>
      <c r="DB73" s="43">
        <v>1140414297.5799999</v>
      </c>
      <c r="DC73" s="43">
        <v>0</v>
      </c>
      <c r="DD73" s="43">
        <v>71204400.329999998</v>
      </c>
      <c r="DE73" s="43">
        <v>0</v>
      </c>
      <c r="DF73" s="43">
        <v>283852696.85000002</v>
      </c>
      <c r="DG73" s="43">
        <v>3587981.27</v>
      </c>
      <c r="DH73" s="43">
        <v>54102791.07</v>
      </c>
      <c r="DI73" s="43">
        <v>263187174.89999998</v>
      </c>
      <c r="DJ73" s="43">
        <v>-313777879.49000001</v>
      </c>
      <c r="DK73" s="43">
        <v>0</v>
      </c>
      <c r="DL73" s="43">
        <v>230747861.01999992</v>
      </c>
      <c r="DM73" s="43">
        <v>581932042.30999994</v>
      </c>
      <c r="DN73" s="43">
        <v>0</v>
      </c>
      <c r="DO73" s="43">
        <v>0</v>
      </c>
      <c r="DP73" s="43">
        <v>0</v>
      </c>
      <c r="DQ73" s="43">
        <v>0</v>
      </c>
      <c r="DR73" s="43">
        <v>-351184181.29000002</v>
      </c>
      <c r="DS73" s="43">
        <v>0</v>
      </c>
      <c r="DT73" s="43">
        <v>36412873.759999998</v>
      </c>
      <c r="DU73" s="43">
        <v>0</v>
      </c>
      <c r="DV73" s="43">
        <v>0</v>
      </c>
      <c r="DW73" s="43">
        <v>36412873.759999998</v>
      </c>
      <c r="DX73" s="43">
        <v>995892011.37</v>
      </c>
      <c r="DY73" s="43">
        <v>0</v>
      </c>
      <c r="DZ73" s="43">
        <v>0</v>
      </c>
      <c r="EA73" s="43">
        <v>0</v>
      </c>
      <c r="EB73" s="43">
        <v>0</v>
      </c>
      <c r="EC73" s="43">
        <v>995892011.37</v>
      </c>
      <c r="ED73" s="43">
        <v>0</v>
      </c>
      <c r="EE73" s="43">
        <v>0</v>
      </c>
      <c r="EF73" s="43">
        <v>0</v>
      </c>
    </row>
    <row r="74" spans="1:136" ht="13.5" customHeight="1">
      <c r="A74" s="40" t="s">
        <v>200</v>
      </c>
      <c r="B74" s="41">
        <v>4002</v>
      </c>
      <c r="C74" s="42" t="s">
        <v>418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</v>
      </c>
      <c r="CB74" s="43">
        <v>0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43">
        <v>0</v>
      </c>
      <c r="DK74" s="43">
        <v>0</v>
      </c>
      <c r="DL74" s="43">
        <v>0</v>
      </c>
      <c r="DM74" s="43">
        <v>0</v>
      </c>
      <c r="DN74" s="43">
        <v>0</v>
      </c>
      <c r="DO74" s="43">
        <v>0</v>
      </c>
      <c r="DP74" s="43">
        <v>0</v>
      </c>
      <c r="DQ74" s="43">
        <v>0</v>
      </c>
      <c r="DR74" s="43">
        <v>0</v>
      </c>
      <c r="DS74" s="43">
        <v>0</v>
      </c>
      <c r="DT74" s="43">
        <v>0</v>
      </c>
      <c r="DU74" s="43">
        <v>0</v>
      </c>
      <c r="DV74" s="43">
        <v>0</v>
      </c>
      <c r="DW74" s="43">
        <v>0</v>
      </c>
      <c r="DX74" s="43">
        <v>0</v>
      </c>
      <c r="DY74" s="43">
        <v>0</v>
      </c>
      <c r="DZ74" s="43">
        <v>0</v>
      </c>
      <c r="EA74" s="43">
        <v>0</v>
      </c>
      <c r="EB74" s="43">
        <v>0</v>
      </c>
      <c r="EC74" s="43">
        <v>0</v>
      </c>
      <c r="ED74" s="43">
        <v>0</v>
      </c>
      <c r="EE74" s="43">
        <v>0</v>
      </c>
      <c r="EF74" s="43">
        <v>0</v>
      </c>
    </row>
    <row r="75" spans="1:136" ht="13.5" customHeight="1">
      <c r="A75" s="44" t="s">
        <v>201</v>
      </c>
      <c r="B75" s="45">
        <v>4003</v>
      </c>
      <c r="C75" s="42" t="s">
        <v>418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3">
        <v>0</v>
      </c>
      <c r="AI75" s="43">
        <v>0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0</v>
      </c>
      <c r="CB75" s="43">
        <v>0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0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0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0</v>
      </c>
      <c r="DC75" s="43">
        <v>0</v>
      </c>
      <c r="DD75" s="43">
        <v>0</v>
      </c>
      <c r="DE75" s="43">
        <v>0</v>
      </c>
      <c r="DF75" s="43">
        <v>0</v>
      </c>
      <c r="DG75" s="43">
        <v>0</v>
      </c>
      <c r="DH75" s="43">
        <v>0</v>
      </c>
      <c r="DI75" s="43">
        <v>0</v>
      </c>
      <c r="DJ75" s="43">
        <v>0</v>
      </c>
      <c r="DK75" s="43">
        <v>0</v>
      </c>
      <c r="DL75" s="43">
        <v>0</v>
      </c>
      <c r="DM75" s="43">
        <v>0</v>
      </c>
      <c r="DN75" s="43">
        <v>0</v>
      </c>
      <c r="DO75" s="43">
        <v>0</v>
      </c>
      <c r="DP75" s="43">
        <v>0</v>
      </c>
      <c r="DQ75" s="43">
        <v>0</v>
      </c>
      <c r="DR75" s="43">
        <v>0</v>
      </c>
      <c r="DS75" s="43">
        <v>0</v>
      </c>
      <c r="DT75" s="43">
        <v>0</v>
      </c>
      <c r="DU75" s="43">
        <v>0</v>
      </c>
      <c r="DV75" s="43">
        <v>0</v>
      </c>
      <c r="DW75" s="43">
        <v>0</v>
      </c>
      <c r="DX75" s="43">
        <v>0</v>
      </c>
      <c r="DY75" s="43">
        <v>0</v>
      </c>
      <c r="DZ75" s="43">
        <v>0</v>
      </c>
      <c r="EA75" s="43">
        <v>0</v>
      </c>
      <c r="EB75" s="43">
        <v>0</v>
      </c>
      <c r="EC75" s="43">
        <v>0</v>
      </c>
      <c r="ED75" s="43">
        <v>0</v>
      </c>
      <c r="EE75" s="43">
        <v>0</v>
      </c>
      <c r="EF75" s="43">
        <v>0</v>
      </c>
    </row>
    <row r="76" spans="1:136" ht="13.5" customHeight="1">
      <c r="A76" s="44" t="s">
        <v>203</v>
      </c>
      <c r="B76" s="45">
        <v>4004</v>
      </c>
      <c r="C76" s="42" t="s">
        <v>418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43">
        <v>0</v>
      </c>
      <c r="DK76" s="43">
        <v>0</v>
      </c>
      <c r="DL76" s="43">
        <v>0</v>
      </c>
      <c r="DM76" s="43">
        <v>0</v>
      </c>
      <c r="DN76" s="43">
        <v>0</v>
      </c>
      <c r="DO76" s="43">
        <v>0</v>
      </c>
      <c r="DP76" s="43">
        <v>0</v>
      </c>
      <c r="DQ76" s="43">
        <v>0</v>
      </c>
      <c r="DR76" s="43">
        <v>0</v>
      </c>
      <c r="DS76" s="43">
        <v>0</v>
      </c>
      <c r="DT76" s="43">
        <v>0</v>
      </c>
      <c r="DU76" s="43">
        <v>0</v>
      </c>
      <c r="DV76" s="43">
        <v>0</v>
      </c>
      <c r="DW76" s="43">
        <v>0</v>
      </c>
      <c r="DX76" s="43">
        <v>0</v>
      </c>
      <c r="DY76" s="43">
        <v>0</v>
      </c>
      <c r="DZ76" s="43">
        <v>0</v>
      </c>
      <c r="EA76" s="43">
        <v>0</v>
      </c>
      <c r="EB76" s="43">
        <v>0</v>
      </c>
      <c r="EC76" s="43">
        <v>0</v>
      </c>
      <c r="ED76" s="43">
        <v>0</v>
      </c>
      <c r="EE76" s="43">
        <v>0</v>
      </c>
      <c r="EF76" s="43">
        <v>0</v>
      </c>
    </row>
    <row r="77" spans="1:136" ht="13.5" customHeight="1">
      <c r="A77" s="44" t="s">
        <v>204</v>
      </c>
      <c r="B77" s="45">
        <v>4005</v>
      </c>
      <c r="C77" s="42" t="s">
        <v>418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>
        <v>0</v>
      </c>
      <c r="AA77" s="43">
        <v>0</v>
      </c>
      <c r="AB77" s="43">
        <v>0</v>
      </c>
      <c r="AC77" s="43">
        <v>0</v>
      </c>
      <c r="AD77" s="43">
        <v>0</v>
      </c>
      <c r="AE77" s="43">
        <v>0</v>
      </c>
      <c r="AF77" s="43">
        <v>0</v>
      </c>
      <c r="AG77" s="43">
        <v>0</v>
      </c>
      <c r="AH77" s="43">
        <v>0</v>
      </c>
      <c r="AI77" s="43">
        <v>0</v>
      </c>
      <c r="AJ77" s="43">
        <v>0</v>
      </c>
      <c r="AK77" s="43">
        <v>0</v>
      </c>
      <c r="AL77" s="43">
        <v>0</v>
      </c>
      <c r="AM77" s="43">
        <v>0</v>
      </c>
      <c r="AN77" s="43">
        <v>0</v>
      </c>
      <c r="AO77" s="43">
        <v>0</v>
      </c>
      <c r="AP77" s="43">
        <v>0</v>
      </c>
      <c r="AQ77" s="43">
        <v>0</v>
      </c>
      <c r="AR77" s="43">
        <v>0</v>
      </c>
      <c r="AS77" s="43">
        <v>0</v>
      </c>
      <c r="AT77" s="43">
        <v>0</v>
      </c>
      <c r="AU77" s="43">
        <v>0</v>
      </c>
      <c r="AV77" s="43">
        <v>0</v>
      </c>
      <c r="AW77" s="43">
        <v>0</v>
      </c>
      <c r="AX77" s="43">
        <v>0</v>
      </c>
      <c r="AY77" s="43">
        <v>0</v>
      </c>
      <c r="AZ77" s="43">
        <v>0</v>
      </c>
      <c r="BA77" s="43">
        <v>0</v>
      </c>
      <c r="BB77" s="43">
        <v>0</v>
      </c>
      <c r="BC77" s="43">
        <v>0</v>
      </c>
      <c r="BD77" s="43">
        <v>0</v>
      </c>
      <c r="BE77" s="43">
        <v>0</v>
      </c>
      <c r="BF77" s="43">
        <v>0</v>
      </c>
      <c r="BG77" s="43">
        <v>0</v>
      </c>
      <c r="BH77" s="43">
        <v>0</v>
      </c>
      <c r="BI77" s="43">
        <v>0</v>
      </c>
      <c r="BJ77" s="43">
        <v>0</v>
      </c>
      <c r="BK77" s="43">
        <v>0</v>
      </c>
      <c r="BL77" s="43">
        <v>0</v>
      </c>
      <c r="BM77" s="43">
        <v>0</v>
      </c>
      <c r="BN77" s="43">
        <v>0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0</v>
      </c>
      <c r="BU77" s="43">
        <v>0</v>
      </c>
      <c r="BV77" s="43">
        <v>0</v>
      </c>
      <c r="BW77" s="43">
        <v>0</v>
      </c>
      <c r="BX77" s="43">
        <v>0</v>
      </c>
      <c r="BY77" s="43">
        <v>0</v>
      </c>
      <c r="BZ77" s="43">
        <v>0</v>
      </c>
      <c r="CA77" s="43">
        <v>0</v>
      </c>
      <c r="CB77" s="43">
        <v>0</v>
      </c>
      <c r="CC77" s="43">
        <v>0</v>
      </c>
      <c r="CD77" s="43">
        <v>0</v>
      </c>
      <c r="CE77" s="43">
        <v>0</v>
      </c>
      <c r="CF77" s="43">
        <v>0</v>
      </c>
      <c r="CG77" s="43">
        <v>0</v>
      </c>
      <c r="CH77" s="43">
        <v>0</v>
      </c>
      <c r="CI77" s="43">
        <v>0</v>
      </c>
      <c r="CJ77" s="43">
        <v>0</v>
      </c>
      <c r="CK77" s="43">
        <v>0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0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3">
        <v>0</v>
      </c>
      <c r="CY77" s="43">
        <v>0</v>
      </c>
      <c r="CZ77" s="43">
        <v>0</v>
      </c>
      <c r="DA77" s="43">
        <v>0</v>
      </c>
      <c r="DB77" s="43">
        <v>0</v>
      </c>
      <c r="DC77" s="43">
        <v>0</v>
      </c>
      <c r="DD77" s="43">
        <v>0</v>
      </c>
      <c r="DE77" s="43">
        <v>0</v>
      </c>
      <c r="DF77" s="43">
        <v>0</v>
      </c>
      <c r="DG77" s="43">
        <v>0</v>
      </c>
      <c r="DH77" s="43">
        <v>0</v>
      </c>
      <c r="DI77" s="43">
        <v>0</v>
      </c>
      <c r="DJ77" s="43">
        <v>0</v>
      </c>
      <c r="DK77" s="43">
        <v>0</v>
      </c>
      <c r="DL77" s="43">
        <v>0</v>
      </c>
      <c r="DM77" s="43">
        <v>0</v>
      </c>
      <c r="DN77" s="43">
        <v>0</v>
      </c>
      <c r="DO77" s="43">
        <v>0</v>
      </c>
      <c r="DP77" s="43">
        <v>0</v>
      </c>
      <c r="DQ77" s="43">
        <v>0</v>
      </c>
      <c r="DR77" s="43">
        <v>0</v>
      </c>
      <c r="DS77" s="43">
        <v>0</v>
      </c>
      <c r="DT77" s="43">
        <v>0</v>
      </c>
      <c r="DU77" s="43">
        <v>0</v>
      </c>
      <c r="DV77" s="43">
        <v>0</v>
      </c>
      <c r="DW77" s="43">
        <v>0</v>
      </c>
      <c r="DX77" s="43">
        <v>0</v>
      </c>
      <c r="DY77" s="43">
        <v>0</v>
      </c>
      <c r="DZ77" s="43">
        <v>0</v>
      </c>
      <c r="EA77" s="43">
        <v>0</v>
      </c>
      <c r="EB77" s="43">
        <v>0</v>
      </c>
      <c r="EC77" s="43">
        <v>0</v>
      </c>
      <c r="ED77" s="43">
        <v>0</v>
      </c>
      <c r="EE77" s="43">
        <v>0</v>
      </c>
      <c r="EF77" s="43">
        <v>0</v>
      </c>
    </row>
    <row r="78" spans="1:136" ht="13.5" customHeight="1">
      <c r="A78" s="46" t="s">
        <v>19</v>
      </c>
      <c r="B78" s="47">
        <v>9000</v>
      </c>
      <c r="C78" s="42" t="s">
        <v>419</v>
      </c>
      <c r="D78" s="48">
        <v>1406385897666.5322</v>
      </c>
      <c r="E78" s="48">
        <v>501826584190.58551</v>
      </c>
      <c r="F78" s="48">
        <v>5544694.1400000006</v>
      </c>
      <c r="G78" s="48">
        <v>35070126</v>
      </c>
      <c r="H78" s="48">
        <v>402678507966.15546</v>
      </c>
      <c r="I78" s="48">
        <v>-6311</v>
      </c>
      <c r="J78" s="48">
        <v>96053680957.509979</v>
      </c>
      <c r="K78" s="48">
        <v>3053786757.7799997</v>
      </c>
      <c r="L78" s="48">
        <v>519482453114.06018</v>
      </c>
      <c r="M78" s="48">
        <v>243251715539.01001</v>
      </c>
      <c r="N78" s="48">
        <v>59125892844.570007</v>
      </c>
      <c r="O78" s="48">
        <v>215562061077.35001</v>
      </c>
      <c r="P78" s="48">
        <v>1544690536.1600342</v>
      </c>
      <c r="Q78" s="48">
        <v>0</v>
      </c>
      <c r="R78" s="48">
        <v>3420935</v>
      </c>
      <c r="S78" s="48">
        <v>0</v>
      </c>
      <c r="T78" s="48">
        <v>-5327818.0299999993</v>
      </c>
      <c r="U78" s="48">
        <v>249534510294.60217</v>
      </c>
      <c r="V78" s="48">
        <v>232575906326.45215</v>
      </c>
      <c r="W78" s="48">
        <v>-3838014128.8999996</v>
      </c>
      <c r="X78" s="48">
        <v>14755716553.52</v>
      </c>
      <c r="Y78" s="48">
        <v>-92718171.459999993</v>
      </c>
      <c r="Z78" s="48">
        <v>5934853892.2899981</v>
      </c>
      <c r="AA78" s="48">
        <v>-1.0000000009313226E-2</v>
      </c>
      <c r="AB78" s="48">
        <v>0</v>
      </c>
      <c r="AC78" s="48">
        <v>0</v>
      </c>
      <c r="AD78" s="48">
        <v>28281456962.039997</v>
      </c>
      <c r="AE78" s="48">
        <v>-28082691139.329998</v>
      </c>
      <c r="AF78" s="48">
        <v>490038819.42439997</v>
      </c>
      <c r="AG78" s="48">
        <v>47598423.009999998</v>
      </c>
      <c r="AH78" s="48">
        <v>220905685.78999999</v>
      </c>
      <c r="AI78" s="48">
        <v>53660143.510000013</v>
      </c>
      <c r="AJ78" s="48">
        <v>38993641.390000001</v>
      </c>
      <c r="AK78" s="48">
        <v>3444611.4599999995</v>
      </c>
      <c r="AL78" s="48">
        <v>125436314.26440002</v>
      </c>
      <c r="AM78" s="48">
        <v>0</v>
      </c>
      <c r="AN78" s="48">
        <v>1551278.06</v>
      </c>
      <c r="AO78" s="48">
        <v>-1551278.06</v>
      </c>
      <c r="AP78" s="48">
        <v>11214644884.650002</v>
      </c>
      <c r="AQ78" s="48">
        <v>0</v>
      </c>
      <c r="AR78" s="48">
        <v>0</v>
      </c>
      <c r="AS78" s="48">
        <v>1162846584.05</v>
      </c>
      <c r="AT78" s="48">
        <v>10420537929.910002</v>
      </c>
      <c r="AU78" s="48">
        <v>-368653027.77999997</v>
      </c>
      <c r="AV78" s="48">
        <v>87582694.439999998</v>
      </c>
      <c r="AW78" s="48">
        <v>-87669295.969999999</v>
      </c>
      <c r="AX78" s="48">
        <v>113832004969.3501</v>
      </c>
      <c r="AY78" s="48">
        <v>96869798086.770111</v>
      </c>
      <c r="AZ78" s="48">
        <v>36448174.57</v>
      </c>
      <c r="BA78" s="48">
        <v>2158199156.5800004</v>
      </c>
      <c r="BB78" s="48">
        <v>14767559551.430004</v>
      </c>
      <c r="BC78" s="48">
        <v>10005661393.86001</v>
      </c>
      <c r="BD78" s="48">
        <v>108533518.91999999</v>
      </c>
      <c r="BE78" s="48">
        <v>7655049381.5699997</v>
      </c>
      <c r="BF78" s="48">
        <v>0</v>
      </c>
      <c r="BG78" s="48">
        <v>1906314224.8300002</v>
      </c>
      <c r="BH78" s="48">
        <v>163951972.41000003</v>
      </c>
      <c r="BI78" s="48">
        <v>27311.27</v>
      </c>
      <c r="BJ78" s="48">
        <v>188671413.70001021</v>
      </c>
      <c r="BK78" s="48">
        <v>-16886428.84</v>
      </c>
      <c r="BL78" s="48">
        <v>112820421685.55774</v>
      </c>
      <c r="BM78" s="48">
        <v>633047661.20771098</v>
      </c>
      <c r="BN78" s="48">
        <v>632942600.93771088</v>
      </c>
      <c r="BO78" s="48">
        <v>0</v>
      </c>
      <c r="BP78" s="48">
        <v>0</v>
      </c>
      <c r="BQ78" s="48">
        <v>0</v>
      </c>
      <c r="BR78" s="48">
        <v>0</v>
      </c>
      <c r="BS78" s="48">
        <v>0</v>
      </c>
      <c r="BT78" s="48">
        <v>0</v>
      </c>
      <c r="BU78" s="48">
        <v>0</v>
      </c>
      <c r="BV78" s="48">
        <v>944427329.99000001</v>
      </c>
      <c r="BW78" s="48">
        <v>-944322269.72000003</v>
      </c>
      <c r="BX78" s="48">
        <v>8044089.8699999973</v>
      </c>
      <c r="BY78" s="48">
        <v>8044089.8699999973</v>
      </c>
      <c r="BZ78" s="48">
        <v>0</v>
      </c>
      <c r="CA78" s="48">
        <v>0</v>
      </c>
      <c r="CB78" s="48">
        <v>0</v>
      </c>
      <c r="CC78" s="48">
        <v>0</v>
      </c>
      <c r="CD78" s="48">
        <v>0</v>
      </c>
      <c r="CE78" s="48">
        <v>0</v>
      </c>
      <c r="CF78" s="48">
        <v>0</v>
      </c>
      <c r="CG78" s="48">
        <v>0</v>
      </c>
      <c r="CH78" s="48">
        <v>83581176.079999998</v>
      </c>
      <c r="CI78" s="48">
        <v>0</v>
      </c>
      <c r="CJ78" s="48">
        <v>0</v>
      </c>
      <c r="CK78" s="48">
        <v>83353176.079999998</v>
      </c>
      <c r="CL78" s="48">
        <v>228000</v>
      </c>
      <c r="CM78" s="48">
        <v>0</v>
      </c>
      <c r="CN78" s="48">
        <v>0</v>
      </c>
      <c r="CO78" s="48">
        <v>0</v>
      </c>
      <c r="CP78" s="48">
        <v>56990962538.110008</v>
      </c>
      <c r="CQ78" s="48">
        <v>3066888238.8600001</v>
      </c>
      <c r="CR78" s="48">
        <v>21865862887.899998</v>
      </c>
      <c r="CS78" s="48">
        <v>0</v>
      </c>
      <c r="CT78" s="48">
        <v>32059402275.339996</v>
      </c>
      <c r="CU78" s="48">
        <v>-10000000</v>
      </c>
      <c r="CV78" s="48">
        <v>0</v>
      </c>
      <c r="CW78" s="48">
        <v>0</v>
      </c>
      <c r="CX78" s="48">
        <v>0</v>
      </c>
      <c r="CY78" s="48">
        <v>26411842.280000001</v>
      </c>
      <c r="CZ78" s="48">
        <v>-17602706.27</v>
      </c>
      <c r="DA78" s="48">
        <v>25287756455.269997</v>
      </c>
      <c r="DB78" s="48">
        <v>9842995709.9200001</v>
      </c>
      <c r="DC78" s="48">
        <v>-115493.53</v>
      </c>
      <c r="DD78" s="48">
        <v>7962931875.8799992</v>
      </c>
      <c r="DE78" s="48">
        <v>1171080181.26</v>
      </c>
      <c r="DF78" s="48">
        <v>3254190847.019999</v>
      </c>
      <c r="DG78" s="48">
        <v>2329121567.4200001</v>
      </c>
      <c r="DH78" s="48">
        <v>1509115335.8600001</v>
      </c>
      <c r="DI78" s="48">
        <v>4367534489.9700012</v>
      </c>
      <c r="DJ78" s="48">
        <v>-5548132865.7499981</v>
      </c>
      <c r="DK78" s="48">
        <v>399034807.22000003</v>
      </c>
      <c r="DL78" s="48">
        <v>10270269271.120001</v>
      </c>
      <c r="DM78" s="48">
        <v>9758237589.3000031</v>
      </c>
      <c r="DN78" s="48">
        <v>243491291.96000001</v>
      </c>
      <c r="DO78" s="48">
        <v>0</v>
      </c>
      <c r="DP78" s="48">
        <v>1750862949.54</v>
      </c>
      <c r="DQ78" s="48">
        <v>3319812218.1100001</v>
      </c>
      <c r="DR78" s="48">
        <v>-6278250292.3500023</v>
      </c>
      <c r="DS78" s="48">
        <v>1476115514.5599999</v>
      </c>
      <c r="DT78" s="48">
        <v>6602530843.2100058</v>
      </c>
      <c r="DU78" s="48">
        <v>5784309898.4800043</v>
      </c>
      <c r="DV78" s="48">
        <v>0</v>
      </c>
      <c r="DW78" s="48">
        <v>818220944.73000002</v>
      </c>
      <c r="DX78" s="48">
        <v>12944229650.690002</v>
      </c>
      <c r="DY78" s="48">
        <v>0</v>
      </c>
      <c r="DZ78" s="48">
        <v>0</v>
      </c>
      <c r="EA78" s="48">
        <v>0</v>
      </c>
      <c r="EB78" s="48">
        <v>0</v>
      </c>
      <c r="EC78" s="48">
        <v>12812562545.960003</v>
      </c>
      <c r="ED78" s="48">
        <v>131667104.73</v>
      </c>
      <c r="EE78" s="48">
        <v>0</v>
      </c>
      <c r="EF78" s="48">
        <v>0</v>
      </c>
    </row>
    <row r="79" spans="1:136" ht="13.5" customHeight="1">
      <c r="A79" s="46" t="s">
        <v>20</v>
      </c>
      <c r="B79" s="47">
        <v>9001</v>
      </c>
      <c r="C79" s="42" t="s">
        <v>420</v>
      </c>
      <c r="D79" s="48">
        <v>838908022967.17749</v>
      </c>
      <c r="E79" s="48">
        <v>83208313356.287872</v>
      </c>
      <c r="F79" s="48">
        <v>41069.019999999997</v>
      </c>
      <c r="G79" s="48">
        <v>0</v>
      </c>
      <c r="H79" s="48">
        <v>64424496720.867867</v>
      </c>
      <c r="I79" s="48">
        <v>0.03</v>
      </c>
      <c r="J79" s="48">
        <v>18757417526.599995</v>
      </c>
      <c r="K79" s="48">
        <v>26358039.770000003</v>
      </c>
      <c r="L79" s="48">
        <v>282933564685.04004</v>
      </c>
      <c r="M79" s="48">
        <v>88976240453.900009</v>
      </c>
      <c r="N79" s="48">
        <v>10441355497.01</v>
      </c>
      <c r="O79" s="48">
        <v>55336582453.660004</v>
      </c>
      <c r="P79" s="48">
        <v>0</v>
      </c>
      <c r="Q79" s="48">
        <v>0</v>
      </c>
      <c r="R79" s="48">
        <v>128179386280.47</v>
      </c>
      <c r="S79" s="48">
        <v>0</v>
      </c>
      <c r="T79" s="48">
        <v>0</v>
      </c>
      <c r="U79" s="48">
        <v>443715400112.18512</v>
      </c>
      <c r="V79" s="48">
        <v>29504730065.595078</v>
      </c>
      <c r="W79" s="48">
        <v>-79381209.659999996</v>
      </c>
      <c r="X79" s="48">
        <v>221863612.06000006</v>
      </c>
      <c r="Y79" s="48">
        <v>0</v>
      </c>
      <c r="Z79" s="48">
        <v>0</v>
      </c>
      <c r="AA79" s="48">
        <v>4663874782.0299997</v>
      </c>
      <c r="AB79" s="48">
        <v>0</v>
      </c>
      <c r="AC79" s="48">
        <v>409404222912.62006</v>
      </c>
      <c r="AD79" s="48">
        <v>59399092.450000003</v>
      </c>
      <c r="AE79" s="48">
        <v>-59309142.910000004</v>
      </c>
      <c r="AF79" s="48">
        <v>176969769.35000002</v>
      </c>
      <c r="AG79" s="48">
        <v>0</v>
      </c>
      <c r="AH79" s="48">
        <v>0</v>
      </c>
      <c r="AI79" s="48">
        <v>3556729.02</v>
      </c>
      <c r="AJ79" s="48">
        <v>124934.45</v>
      </c>
      <c r="AK79" s="48">
        <v>15571572.630000003</v>
      </c>
      <c r="AL79" s="48">
        <v>157716533.25</v>
      </c>
      <c r="AM79" s="48">
        <v>0</v>
      </c>
      <c r="AN79" s="48">
        <v>0</v>
      </c>
      <c r="AO79" s="48">
        <v>0</v>
      </c>
      <c r="AP79" s="48">
        <v>2630429922.0499992</v>
      </c>
      <c r="AQ79" s="48">
        <v>0</v>
      </c>
      <c r="AR79" s="48">
        <v>0</v>
      </c>
      <c r="AS79" s="48">
        <v>19687826.220000003</v>
      </c>
      <c r="AT79" s="48">
        <v>2584804834.2400007</v>
      </c>
      <c r="AU79" s="48">
        <v>0</v>
      </c>
      <c r="AV79" s="48">
        <v>31386192.759999998</v>
      </c>
      <c r="AW79" s="48">
        <v>-5448931.1699999999</v>
      </c>
      <c r="AX79" s="48">
        <v>24959197157.534492</v>
      </c>
      <c r="AY79" s="48">
        <v>22506954263.310001</v>
      </c>
      <c r="AZ79" s="48">
        <v>1829583</v>
      </c>
      <c r="BA79" s="48">
        <v>331674534.81</v>
      </c>
      <c r="BB79" s="48">
        <v>2118738776.4144912</v>
      </c>
      <c r="BC79" s="48">
        <v>1284147964.7299998</v>
      </c>
      <c r="BD79" s="48">
        <v>68000</v>
      </c>
      <c r="BE79" s="48">
        <v>473569340.64000005</v>
      </c>
      <c r="BF79" s="48">
        <v>0.05</v>
      </c>
      <c r="BG79" s="48">
        <v>653322817.6500001</v>
      </c>
      <c r="BH79" s="48">
        <v>157151411.88999996</v>
      </c>
      <c r="BI79" s="48">
        <v>0</v>
      </c>
      <c r="BJ79" s="48">
        <v>781449.78999973217</v>
      </c>
      <c r="BK79" s="48">
        <v>-745055.29</v>
      </c>
      <c r="BL79" s="48">
        <v>2023453803169.4202</v>
      </c>
      <c r="BM79" s="48">
        <v>2002390747804.51</v>
      </c>
      <c r="BN79" s="48">
        <v>0</v>
      </c>
      <c r="BO79" s="48">
        <v>0</v>
      </c>
      <c r="BP79" s="48">
        <v>0</v>
      </c>
      <c r="BQ79" s="48">
        <v>0</v>
      </c>
      <c r="BR79" s="48">
        <v>0</v>
      </c>
      <c r="BS79" s="48">
        <v>838855858.51999998</v>
      </c>
      <c r="BT79" s="48">
        <v>0</v>
      </c>
      <c r="BU79" s="48">
        <v>2001551891945.99</v>
      </c>
      <c r="BV79" s="48">
        <v>920798.23</v>
      </c>
      <c r="BW79" s="48">
        <v>-920798.23</v>
      </c>
      <c r="BX79" s="48">
        <v>0</v>
      </c>
      <c r="BY79" s="48">
        <v>0</v>
      </c>
      <c r="BZ79" s="48">
        <v>0</v>
      </c>
      <c r="CA79" s="48">
        <v>0</v>
      </c>
      <c r="CB79" s="48">
        <v>0</v>
      </c>
      <c r="CC79" s="48">
        <v>0</v>
      </c>
      <c r="CD79" s="48">
        <v>0</v>
      </c>
      <c r="CE79" s="48">
        <v>0</v>
      </c>
      <c r="CF79" s="48">
        <v>0</v>
      </c>
      <c r="CG79" s="48">
        <v>0</v>
      </c>
      <c r="CH79" s="48">
        <v>602316713.62000012</v>
      </c>
      <c r="CI79" s="48">
        <v>0</v>
      </c>
      <c r="CJ79" s="48">
        <v>0</v>
      </c>
      <c r="CK79" s="48">
        <v>602316713.62000012</v>
      </c>
      <c r="CL79" s="48">
        <v>0</v>
      </c>
      <c r="CM79" s="48">
        <v>0</v>
      </c>
      <c r="CN79" s="48">
        <v>1620487.72</v>
      </c>
      <c r="CO79" s="48">
        <v>-1620487.72</v>
      </c>
      <c r="CP79" s="48">
        <v>2795783797.2500005</v>
      </c>
      <c r="CQ79" s="48">
        <v>594694027.21000004</v>
      </c>
      <c r="CR79" s="48">
        <v>50714116.510000005</v>
      </c>
      <c r="CS79" s="48">
        <v>0</v>
      </c>
      <c r="CT79" s="48">
        <v>2138250000</v>
      </c>
      <c r="CU79" s="48">
        <v>0</v>
      </c>
      <c r="CV79" s="48">
        <v>0</v>
      </c>
      <c r="CW79" s="48">
        <v>0</v>
      </c>
      <c r="CX79" s="48">
        <v>0</v>
      </c>
      <c r="CY79" s="48">
        <v>18342074.530000001</v>
      </c>
      <c r="CZ79" s="48">
        <v>-6216421</v>
      </c>
      <c r="DA79" s="48">
        <v>5537843543.6699991</v>
      </c>
      <c r="DB79" s="48">
        <v>1427209297.5799999</v>
      </c>
      <c r="DC79" s="48">
        <v>0</v>
      </c>
      <c r="DD79" s="48">
        <v>133304400.33</v>
      </c>
      <c r="DE79" s="48">
        <v>406780517.55000001</v>
      </c>
      <c r="DF79" s="48">
        <v>1557068830.0599997</v>
      </c>
      <c r="DG79" s="48">
        <v>725083291.9000001</v>
      </c>
      <c r="DH79" s="48">
        <v>843217213.53000009</v>
      </c>
      <c r="DI79" s="48">
        <v>3169612381.0699997</v>
      </c>
      <c r="DJ79" s="48">
        <v>-2740449821.2699995</v>
      </c>
      <c r="DK79" s="48">
        <v>16017432.92</v>
      </c>
      <c r="DL79" s="48">
        <v>6637070715.9299984</v>
      </c>
      <c r="DM79" s="48">
        <v>3849996311.5599995</v>
      </c>
      <c r="DN79" s="48">
        <v>249991691.71000001</v>
      </c>
      <c r="DO79" s="48">
        <v>0</v>
      </c>
      <c r="DP79" s="48">
        <v>0</v>
      </c>
      <c r="DQ79" s="48">
        <v>5210090422.0999994</v>
      </c>
      <c r="DR79" s="48">
        <v>-4260899658.5300002</v>
      </c>
      <c r="DS79" s="48">
        <v>1587891949.0899997</v>
      </c>
      <c r="DT79" s="48">
        <v>1444011198.77</v>
      </c>
      <c r="DU79" s="48">
        <v>352276861.42000002</v>
      </c>
      <c r="DV79" s="48">
        <v>0</v>
      </c>
      <c r="DW79" s="48">
        <v>1091734337.3500001</v>
      </c>
      <c r="DX79" s="48">
        <v>4046029395.6699996</v>
      </c>
      <c r="DY79" s="48">
        <v>0</v>
      </c>
      <c r="DZ79" s="48">
        <v>0</v>
      </c>
      <c r="EA79" s="48">
        <v>0</v>
      </c>
      <c r="EB79" s="48">
        <v>0</v>
      </c>
      <c r="EC79" s="48">
        <v>4046029395.6699996</v>
      </c>
      <c r="ED79" s="48">
        <v>0</v>
      </c>
      <c r="EE79" s="48">
        <v>0</v>
      </c>
      <c r="EF79" s="48">
        <v>0</v>
      </c>
    </row>
    <row r="80" spans="1:136">
      <c r="A80" s="46" t="s">
        <v>21</v>
      </c>
      <c r="B80" s="47">
        <v>9002</v>
      </c>
      <c r="C80" s="42" t="s">
        <v>421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  <c r="AE80" s="48">
        <v>0</v>
      </c>
      <c r="AF80" s="48">
        <v>0</v>
      </c>
      <c r="AG80" s="48">
        <v>0</v>
      </c>
      <c r="AH80" s="48">
        <v>0</v>
      </c>
      <c r="AI80" s="48">
        <v>0</v>
      </c>
      <c r="AJ80" s="48">
        <v>0</v>
      </c>
      <c r="AK80" s="48">
        <v>0</v>
      </c>
      <c r="AL80" s="48">
        <v>0</v>
      </c>
      <c r="AM80" s="48">
        <v>0</v>
      </c>
      <c r="AN80" s="48">
        <v>0</v>
      </c>
      <c r="AO80" s="48">
        <v>0</v>
      </c>
      <c r="AP80" s="48">
        <v>0</v>
      </c>
      <c r="AQ80" s="48">
        <v>0</v>
      </c>
      <c r="AR80" s="48">
        <v>0</v>
      </c>
      <c r="AS80" s="48">
        <v>0</v>
      </c>
      <c r="AT80" s="48">
        <v>0</v>
      </c>
      <c r="AU80" s="48">
        <v>0</v>
      </c>
      <c r="AV80" s="48">
        <v>0</v>
      </c>
      <c r="AW80" s="48">
        <v>0</v>
      </c>
      <c r="AX80" s="48">
        <v>0</v>
      </c>
      <c r="AY80" s="48">
        <v>0</v>
      </c>
      <c r="AZ80" s="48">
        <v>0</v>
      </c>
      <c r="BA80" s="48">
        <v>0</v>
      </c>
      <c r="BB80" s="48">
        <v>0</v>
      </c>
      <c r="BC80" s="48">
        <v>0</v>
      </c>
      <c r="BD80" s="48">
        <v>0</v>
      </c>
      <c r="BE80" s="48">
        <v>0</v>
      </c>
      <c r="BF80" s="48">
        <v>0</v>
      </c>
      <c r="BG80" s="48">
        <v>0</v>
      </c>
      <c r="BH80" s="48">
        <v>0</v>
      </c>
      <c r="BI80" s="48">
        <v>0</v>
      </c>
      <c r="BJ80" s="48">
        <v>0</v>
      </c>
      <c r="BK80" s="48">
        <v>0</v>
      </c>
      <c r="BL80" s="48">
        <v>0</v>
      </c>
      <c r="BM80" s="48">
        <v>0</v>
      </c>
      <c r="BN80" s="48">
        <v>0</v>
      </c>
      <c r="BO80" s="48">
        <v>0</v>
      </c>
      <c r="BP80" s="48">
        <v>0</v>
      </c>
      <c r="BQ80" s="48">
        <v>0</v>
      </c>
      <c r="BR80" s="48">
        <v>0</v>
      </c>
      <c r="BS80" s="48">
        <v>0</v>
      </c>
      <c r="BT80" s="48">
        <v>0</v>
      </c>
      <c r="BU80" s="48">
        <v>0</v>
      </c>
      <c r="BV80" s="48">
        <v>0</v>
      </c>
      <c r="BW80" s="48">
        <v>0</v>
      </c>
      <c r="BX80" s="48">
        <v>0</v>
      </c>
      <c r="BY80" s="48">
        <v>0</v>
      </c>
      <c r="BZ80" s="48">
        <v>0</v>
      </c>
      <c r="CA80" s="48">
        <v>0</v>
      </c>
      <c r="CB80" s="48">
        <v>0</v>
      </c>
      <c r="CC80" s="48">
        <v>0</v>
      </c>
      <c r="CD80" s="48">
        <v>0</v>
      </c>
      <c r="CE80" s="48">
        <v>0</v>
      </c>
      <c r="CF80" s="48">
        <v>0</v>
      </c>
      <c r="CG80" s="48">
        <v>0</v>
      </c>
      <c r="CH80" s="48">
        <v>0</v>
      </c>
      <c r="CI80" s="48">
        <v>0</v>
      </c>
      <c r="CJ80" s="48">
        <v>0</v>
      </c>
      <c r="CK80" s="48">
        <v>0</v>
      </c>
      <c r="CL80" s="48">
        <v>0</v>
      </c>
      <c r="CM80" s="48">
        <v>0</v>
      </c>
      <c r="CN80" s="48">
        <v>0</v>
      </c>
      <c r="CO80" s="48">
        <v>0</v>
      </c>
      <c r="CP80" s="48">
        <v>0</v>
      </c>
      <c r="CQ80" s="48">
        <v>0</v>
      </c>
      <c r="CR80" s="48">
        <v>0</v>
      </c>
      <c r="CS80" s="48">
        <v>0</v>
      </c>
      <c r="CT80" s="48">
        <v>0</v>
      </c>
      <c r="CU80" s="48">
        <v>0</v>
      </c>
      <c r="CV80" s="48">
        <v>0</v>
      </c>
      <c r="CW80" s="48">
        <v>0</v>
      </c>
      <c r="CX80" s="48">
        <v>0</v>
      </c>
      <c r="CY80" s="48">
        <v>0</v>
      </c>
      <c r="CZ80" s="48">
        <v>0</v>
      </c>
      <c r="DA80" s="48">
        <v>0</v>
      </c>
      <c r="DB80" s="48">
        <v>0</v>
      </c>
      <c r="DC80" s="48">
        <v>0</v>
      </c>
      <c r="DD80" s="48">
        <v>0</v>
      </c>
      <c r="DE80" s="48">
        <v>0</v>
      </c>
      <c r="DF80" s="48">
        <v>0</v>
      </c>
      <c r="DG80" s="48">
        <v>0</v>
      </c>
      <c r="DH80" s="48">
        <v>0</v>
      </c>
      <c r="DI80" s="48">
        <v>0</v>
      </c>
      <c r="DJ80" s="48">
        <v>0</v>
      </c>
      <c r="DK80" s="48">
        <v>0</v>
      </c>
      <c r="DL80" s="48">
        <v>0</v>
      </c>
      <c r="DM80" s="48">
        <v>0</v>
      </c>
      <c r="DN80" s="48">
        <v>0</v>
      </c>
      <c r="DO80" s="48">
        <v>0</v>
      </c>
      <c r="DP80" s="48">
        <v>0</v>
      </c>
      <c r="DQ80" s="48">
        <v>0</v>
      </c>
      <c r="DR80" s="48">
        <v>0</v>
      </c>
      <c r="DS80" s="48">
        <v>0</v>
      </c>
      <c r="DT80" s="48">
        <v>0</v>
      </c>
      <c r="DU80" s="48">
        <v>0</v>
      </c>
      <c r="DV80" s="48">
        <v>0</v>
      </c>
      <c r="DW80" s="48">
        <v>0</v>
      </c>
      <c r="DX80" s="48">
        <v>0</v>
      </c>
      <c r="DY80" s="48">
        <v>0</v>
      </c>
      <c r="DZ80" s="48">
        <v>0</v>
      </c>
      <c r="EA80" s="48">
        <v>0</v>
      </c>
      <c r="EB80" s="48">
        <v>0</v>
      </c>
      <c r="EC80" s="48">
        <v>0</v>
      </c>
      <c r="ED80" s="48">
        <v>0</v>
      </c>
      <c r="EE80" s="48">
        <v>0</v>
      </c>
      <c r="EF80" s="48">
        <v>0</v>
      </c>
    </row>
    <row r="81" spans="1:136">
      <c r="A81" s="46" t="s">
        <v>22</v>
      </c>
      <c r="B81" s="47">
        <v>9003</v>
      </c>
      <c r="C81" s="42" t="s">
        <v>422</v>
      </c>
      <c r="D81" s="48">
        <v>2245293920633.71</v>
      </c>
      <c r="E81" s="48">
        <v>585034897546.87341</v>
      </c>
      <c r="F81" s="48">
        <v>5585763.1600000001</v>
      </c>
      <c r="G81" s="48">
        <v>35070126</v>
      </c>
      <c r="H81" s="48">
        <v>467103004687.02332</v>
      </c>
      <c r="I81" s="48">
        <v>-6310.97</v>
      </c>
      <c r="J81" s="48">
        <v>114811098484.10997</v>
      </c>
      <c r="K81" s="48">
        <v>3080144797.5499997</v>
      </c>
      <c r="L81" s="48">
        <v>802416017799.10022</v>
      </c>
      <c r="M81" s="48">
        <v>332227955992.91003</v>
      </c>
      <c r="N81" s="48">
        <v>69567248341.580002</v>
      </c>
      <c r="O81" s="48">
        <v>270898643531.01001</v>
      </c>
      <c r="P81" s="48">
        <v>1544690536.1600342</v>
      </c>
      <c r="Q81" s="48">
        <v>0</v>
      </c>
      <c r="R81" s="48">
        <v>128182807215.47</v>
      </c>
      <c r="S81" s="48">
        <v>0</v>
      </c>
      <c r="T81" s="48">
        <v>-5327818.0299999993</v>
      </c>
      <c r="U81" s="48">
        <v>693249910406.78735</v>
      </c>
      <c r="V81" s="48">
        <v>262080636392.04724</v>
      </c>
      <c r="W81" s="48">
        <v>-3917395338.5599995</v>
      </c>
      <c r="X81" s="48">
        <v>14977580165.58</v>
      </c>
      <c r="Y81" s="48">
        <v>-92718171.459999993</v>
      </c>
      <c r="Z81" s="48">
        <v>5934853892.2899981</v>
      </c>
      <c r="AA81" s="48">
        <v>4663874782.0199995</v>
      </c>
      <c r="AB81" s="48">
        <v>0</v>
      </c>
      <c r="AC81" s="48">
        <v>409404222912.62006</v>
      </c>
      <c r="AD81" s="48">
        <v>28340856054.489998</v>
      </c>
      <c r="AE81" s="48">
        <v>-28142000282.239998</v>
      </c>
      <c r="AF81" s="48">
        <v>667008588.7744</v>
      </c>
      <c r="AG81" s="48">
        <v>47598423.009999998</v>
      </c>
      <c r="AH81" s="48">
        <v>220905685.78999999</v>
      </c>
      <c r="AI81" s="48">
        <v>57216872.530000016</v>
      </c>
      <c r="AJ81" s="48">
        <v>39118575.840000004</v>
      </c>
      <c r="AK81" s="48">
        <v>19016184.090000004</v>
      </c>
      <c r="AL81" s="48">
        <v>283152847.51440001</v>
      </c>
      <c r="AM81" s="48">
        <v>0</v>
      </c>
      <c r="AN81" s="48">
        <v>1551278.06</v>
      </c>
      <c r="AO81" s="48">
        <v>-1551278.06</v>
      </c>
      <c r="AP81" s="48">
        <v>13845074806.700001</v>
      </c>
      <c r="AQ81" s="48">
        <v>0</v>
      </c>
      <c r="AR81" s="48">
        <v>0</v>
      </c>
      <c r="AS81" s="48">
        <v>1182534410.27</v>
      </c>
      <c r="AT81" s="48">
        <v>13005342764.150002</v>
      </c>
      <c r="AU81" s="48">
        <v>-368653027.77999997</v>
      </c>
      <c r="AV81" s="48">
        <v>118968887.19999999</v>
      </c>
      <c r="AW81" s="48">
        <v>-93118227.140000001</v>
      </c>
      <c r="AX81" s="48">
        <v>138791202126.88458</v>
      </c>
      <c r="AY81" s="48">
        <v>119376752350.08011</v>
      </c>
      <c r="AZ81" s="48">
        <v>38277757.57</v>
      </c>
      <c r="BA81" s="48">
        <v>2489873691.3900003</v>
      </c>
      <c r="BB81" s="48">
        <v>16886298327.844496</v>
      </c>
      <c r="BC81" s="48">
        <v>11289809358.59001</v>
      </c>
      <c r="BD81" s="48">
        <v>108601518.91999999</v>
      </c>
      <c r="BE81" s="48">
        <v>8128618722.21</v>
      </c>
      <c r="BF81" s="48">
        <v>0.05</v>
      </c>
      <c r="BG81" s="48">
        <v>2559637042.4800005</v>
      </c>
      <c r="BH81" s="48">
        <v>321103384.29999995</v>
      </c>
      <c r="BI81" s="48">
        <v>27311.27</v>
      </c>
      <c r="BJ81" s="48">
        <v>189452863.49000993</v>
      </c>
      <c r="BK81" s="48">
        <v>-17631484.129999999</v>
      </c>
      <c r="BL81" s="48">
        <v>2136274224854.978</v>
      </c>
      <c r="BM81" s="48">
        <v>2003023795465.7178</v>
      </c>
      <c r="BN81" s="48">
        <v>632942600.93771088</v>
      </c>
      <c r="BO81" s="48">
        <v>0</v>
      </c>
      <c r="BP81" s="48">
        <v>0</v>
      </c>
      <c r="BQ81" s="48">
        <v>0</v>
      </c>
      <c r="BR81" s="48">
        <v>0</v>
      </c>
      <c r="BS81" s="48">
        <v>838855858.51999998</v>
      </c>
      <c r="BT81" s="48">
        <v>0</v>
      </c>
      <c r="BU81" s="48">
        <v>2001551891945.99</v>
      </c>
      <c r="BV81" s="48">
        <v>945348128.22000003</v>
      </c>
      <c r="BW81" s="48">
        <v>-945243067.95000005</v>
      </c>
      <c r="BX81" s="48">
        <v>8044089.8699999973</v>
      </c>
      <c r="BY81" s="48">
        <v>8044089.8699999973</v>
      </c>
      <c r="BZ81" s="48">
        <v>0</v>
      </c>
      <c r="CA81" s="48">
        <v>0</v>
      </c>
      <c r="CB81" s="48">
        <v>0</v>
      </c>
      <c r="CC81" s="48">
        <v>0</v>
      </c>
      <c r="CD81" s="48">
        <v>0</v>
      </c>
      <c r="CE81" s="48">
        <v>0</v>
      </c>
      <c r="CF81" s="48">
        <v>0</v>
      </c>
      <c r="CG81" s="48">
        <v>0</v>
      </c>
      <c r="CH81" s="48">
        <v>685897889.70000017</v>
      </c>
      <c r="CI81" s="48">
        <v>0</v>
      </c>
      <c r="CJ81" s="48">
        <v>0</v>
      </c>
      <c r="CK81" s="48">
        <v>685669889.70000017</v>
      </c>
      <c r="CL81" s="48">
        <v>228000</v>
      </c>
      <c r="CM81" s="48">
        <v>0</v>
      </c>
      <c r="CN81" s="48">
        <v>1620487.72</v>
      </c>
      <c r="CO81" s="48">
        <v>-1620487.72</v>
      </c>
      <c r="CP81" s="48">
        <v>59786746335.360008</v>
      </c>
      <c r="CQ81" s="48">
        <v>3661582266.0700002</v>
      </c>
      <c r="CR81" s="48">
        <v>21916577004.409996</v>
      </c>
      <c r="CS81" s="48">
        <v>0</v>
      </c>
      <c r="CT81" s="48">
        <v>34197652275.339996</v>
      </c>
      <c r="CU81" s="48">
        <v>-10000000</v>
      </c>
      <c r="CV81" s="48">
        <v>0</v>
      </c>
      <c r="CW81" s="48">
        <v>0</v>
      </c>
      <c r="CX81" s="48">
        <v>0</v>
      </c>
      <c r="CY81" s="48">
        <v>44753916.810000002</v>
      </c>
      <c r="CZ81" s="48">
        <v>-23819127.27</v>
      </c>
      <c r="DA81" s="48">
        <v>30825599998.939995</v>
      </c>
      <c r="DB81" s="48">
        <v>11270205007.5</v>
      </c>
      <c r="DC81" s="48">
        <v>-115493.53</v>
      </c>
      <c r="DD81" s="48">
        <v>8096236276.2099991</v>
      </c>
      <c r="DE81" s="48">
        <v>1577860698.8099999</v>
      </c>
      <c r="DF81" s="48">
        <v>4811259677.079999</v>
      </c>
      <c r="DG81" s="48">
        <v>3054204859.3200002</v>
      </c>
      <c r="DH81" s="48">
        <v>2352332549.3900003</v>
      </c>
      <c r="DI81" s="48">
        <v>7537146871.0400009</v>
      </c>
      <c r="DJ81" s="48">
        <v>-8288582687.0199976</v>
      </c>
      <c r="DK81" s="48">
        <v>415052240.14000005</v>
      </c>
      <c r="DL81" s="48">
        <v>16907339987.049999</v>
      </c>
      <c r="DM81" s="48">
        <v>13608233900.860003</v>
      </c>
      <c r="DN81" s="48">
        <v>493482983.67000002</v>
      </c>
      <c r="DO81" s="48">
        <v>0</v>
      </c>
      <c r="DP81" s="48">
        <v>1750862949.54</v>
      </c>
      <c r="DQ81" s="48">
        <v>8529902640.2099991</v>
      </c>
      <c r="DR81" s="48">
        <v>-10539149950.880003</v>
      </c>
      <c r="DS81" s="48">
        <v>3064007463.6499996</v>
      </c>
      <c r="DT81" s="48">
        <v>8046542041.9800053</v>
      </c>
      <c r="DU81" s="48">
        <v>6136586759.9000044</v>
      </c>
      <c r="DV81" s="48">
        <v>0</v>
      </c>
      <c r="DW81" s="48">
        <v>1909955282.0800002</v>
      </c>
      <c r="DX81" s="48">
        <v>16990259046.360003</v>
      </c>
      <c r="DY81" s="48">
        <v>0</v>
      </c>
      <c r="DZ81" s="48">
        <v>0</v>
      </c>
      <c r="EA81" s="48">
        <v>0</v>
      </c>
      <c r="EB81" s="48">
        <v>0</v>
      </c>
      <c r="EC81" s="48">
        <v>16858591941.630003</v>
      </c>
      <c r="ED81" s="48">
        <v>131667104.73</v>
      </c>
      <c r="EE81" s="48">
        <v>0</v>
      </c>
      <c r="EF81" s="48">
        <v>0</v>
      </c>
    </row>
    <row r="82" spans="1:136">
      <c r="A82" s="49" t="s">
        <v>23</v>
      </c>
      <c r="B82" s="50"/>
      <c r="C82" s="42" t="s">
        <v>423</v>
      </c>
      <c r="D82" s="48">
        <v>2245293920633.71</v>
      </c>
      <c r="E82" s="48">
        <v>585034897546.87341</v>
      </c>
      <c r="F82" s="48">
        <v>5585763.1600000001</v>
      </c>
      <c r="G82" s="48">
        <v>35070126</v>
      </c>
      <c r="H82" s="48">
        <v>467103004687.02332</v>
      </c>
      <c r="I82" s="48">
        <v>-6310.97</v>
      </c>
      <c r="J82" s="48">
        <v>114811098484.10997</v>
      </c>
      <c r="K82" s="48">
        <v>3080144797.5499997</v>
      </c>
      <c r="L82" s="48">
        <v>802416017799.10022</v>
      </c>
      <c r="M82" s="48">
        <v>332227955992.91003</v>
      </c>
      <c r="N82" s="48">
        <v>69567248341.580002</v>
      </c>
      <c r="O82" s="48">
        <v>270898643531.01001</v>
      </c>
      <c r="P82" s="48">
        <v>1544690536.1600342</v>
      </c>
      <c r="Q82" s="48">
        <v>0</v>
      </c>
      <c r="R82" s="48">
        <v>128182807215.47</v>
      </c>
      <c r="S82" s="48">
        <v>0</v>
      </c>
      <c r="T82" s="48">
        <v>-5327818.0299999993</v>
      </c>
      <c r="U82" s="48">
        <v>693249910406.78735</v>
      </c>
      <c r="V82" s="48">
        <v>262080636392.04724</v>
      </c>
      <c r="W82" s="48">
        <v>-3917395338.5599995</v>
      </c>
      <c r="X82" s="48">
        <v>14977580165.58</v>
      </c>
      <c r="Y82" s="48">
        <v>-92718171.459999993</v>
      </c>
      <c r="Z82" s="48">
        <v>5934853892.2899981</v>
      </c>
      <c r="AA82" s="48">
        <v>4663874782.0199995</v>
      </c>
      <c r="AB82" s="48">
        <v>0</v>
      </c>
      <c r="AC82" s="48">
        <v>409404222912.62006</v>
      </c>
      <c r="AD82" s="48">
        <v>28340856054.489998</v>
      </c>
      <c r="AE82" s="48">
        <v>-28142000282.239998</v>
      </c>
      <c r="AF82" s="48">
        <v>667008588.7744</v>
      </c>
      <c r="AG82" s="48">
        <v>47598423.009999998</v>
      </c>
      <c r="AH82" s="48">
        <v>220905685.78999999</v>
      </c>
      <c r="AI82" s="48">
        <v>57216872.530000016</v>
      </c>
      <c r="AJ82" s="48">
        <v>39118575.840000004</v>
      </c>
      <c r="AK82" s="48">
        <v>19016184.090000004</v>
      </c>
      <c r="AL82" s="48">
        <v>283152847.51440001</v>
      </c>
      <c r="AM82" s="48">
        <v>0</v>
      </c>
      <c r="AN82" s="48">
        <v>1551278.06</v>
      </c>
      <c r="AO82" s="48">
        <v>-1551278.06</v>
      </c>
      <c r="AP82" s="48">
        <v>13845074806.700001</v>
      </c>
      <c r="AQ82" s="48">
        <v>0</v>
      </c>
      <c r="AR82" s="48">
        <v>0</v>
      </c>
      <c r="AS82" s="48">
        <v>1182534410.27</v>
      </c>
      <c r="AT82" s="48">
        <v>13005342764.150002</v>
      </c>
      <c r="AU82" s="48">
        <v>-368653027.77999997</v>
      </c>
      <c r="AV82" s="48">
        <v>118968887.19999999</v>
      </c>
      <c r="AW82" s="48">
        <v>-93118227.140000001</v>
      </c>
      <c r="AX82" s="48">
        <v>138791202126.88458</v>
      </c>
      <c r="AY82" s="48">
        <v>119376752350.08011</v>
      </c>
      <c r="AZ82" s="48">
        <v>38277757.57</v>
      </c>
      <c r="BA82" s="48">
        <v>2489873691.3900003</v>
      </c>
      <c r="BB82" s="48">
        <v>16886298327.844496</v>
      </c>
      <c r="BC82" s="48">
        <v>11289809358.59001</v>
      </c>
      <c r="BD82" s="48">
        <v>108601518.91999999</v>
      </c>
      <c r="BE82" s="48">
        <v>8128618722.21</v>
      </c>
      <c r="BF82" s="48">
        <v>0.05</v>
      </c>
      <c r="BG82" s="48">
        <v>2559637042.4800005</v>
      </c>
      <c r="BH82" s="48">
        <v>321103384.29999995</v>
      </c>
      <c r="BI82" s="48">
        <v>27311.27</v>
      </c>
      <c r="BJ82" s="48">
        <v>189452863.49000993</v>
      </c>
      <c r="BK82" s="48">
        <v>-17631484.129999999</v>
      </c>
      <c r="BL82" s="48">
        <v>2136274224854.978</v>
      </c>
      <c r="BM82" s="48">
        <v>2003023795465.7178</v>
      </c>
      <c r="BN82" s="48">
        <v>632942600.93771088</v>
      </c>
      <c r="BO82" s="48">
        <v>0</v>
      </c>
      <c r="BP82" s="48">
        <v>0</v>
      </c>
      <c r="BQ82" s="48">
        <v>0</v>
      </c>
      <c r="BR82" s="48">
        <v>0</v>
      </c>
      <c r="BS82" s="48">
        <v>838855858.51999998</v>
      </c>
      <c r="BT82" s="48">
        <v>0</v>
      </c>
      <c r="BU82" s="48">
        <v>2001551891945.99</v>
      </c>
      <c r="BV82" s="48">
        <v>945348128.22000003</v>
      </c>
      <c r="BW82" s="48">
        <v>-945243067.95000005</v>
      </c>
      <c r="BX82" s="48">
        <v>8044089.8699999973</v>
      </c>
      <c r="BY82" s="48">
        <v>8044089.8699999973</v>
      </c>
      <c r="BZ82" s="48">
        <v>0</v>
      </c>
      <c r="CA82" s="48">
        <v>0</v>
      </c>
      <c r="CB82" s="48">
        <v>0</v>
      </c>
      <c r="CC82" s="48">
        <v>0</v>
      </c>
      <c r="CD82" s="48">
        <v>0</v>
      </c>
      <c r="CE82" s="48">
        <v>0</v>
      </c>
      <c r="CF82" s="48">
        <v>0</v>
      </c>
      <c r="CG82" s="48">
        <v>0</v>
      </c>
      <c r="CH82" s="48">
        <v>685897889.70000017</v>
      </c>
      <c r="CI82" s="48">
        <v>0</v>
      </c>
      <c r="CJ82" s="48">
        <v>0</v>
      </c>
      <c r="CK82" s="48">
        <v>685669889.70000017</v>
      </c>
      <c r="CL82" s="48">
        <v>228000</v>
      </c>
      <c r="CM82" s="48">
        <v>0</v>
      </c>
      <c r="CN82" s="48">
        <v>1620487.72</v>
      </c>
      <c r="CO82" s="48">
        <v>-1620487.72</v>
      </c>
      <c r="CP82" s="48">
        <v>59786746335.360008</v>
      </c>
      <c r="CQ82" s="48">
        <v>3661582266.0700002</v>
      </c>
      <c r="CR82" s="48">
        <v>21916577004.409996</v>
      </c>
      <c r="CS82" s="48">
        <v>0</v>
      </c>
      <c r="CT82" s="48">
        <v>34197652275.339996</v>
      </c>
      <c r="CU82" s="48">
        <v>-10000000</v>
      </c>
      <c r="CV82" s="48">
        <v>0</v>
      </c>
      <c r="CW82" s="48">
        <v>0</v>
      </c>
      <c r="CX82" s="48">
        <v>0</v>
      </c>
      <c r="CY82" s="48">
        <v>44753916.810000002</v>
      </c>
      <c r="CZ82" s="48">
        <v>-23819127.27</v>
      </c>
      <c r="DA82" s="48">
        <v>30825599998.939995</v>
      </c>
      <c r="DB82" s="48">
        <v>11270205007.5</v>
      </c>
      <c r="DC82" s="48">
        <v>-115493.53</v>
      </c>
      <c r="DD82" s="48">
        <v>8096236276.2099991</v>
      </c>
      <c r="DE82" s="48">
        <v>1577860698.8099999</v>
      </c>
      <c r="DF82" s="48">
        <v>4811259677.079999</v>
      </c>
      <c r="DG82" s="48">
        <v>3054204859.3200002</v>
      </c>
      <c r="DH82" s="48">
        <v>2352332549.3900003</v>
      </c>
      <c r="DI82" s="48">
        <v>7537146871.0400009</v>
      </c>
      <c r="DJ82" s="48">
        <v>-8288582687.0199976</v>
      </c>
      <c r="DK82" s="48">
        <v>415052240.14000005</v>
      </c>
      <c r="DL82" s="48">
        <v>16907339987.049999</v>
      </c>
      <c r="DM82" s="48">
        <v>13608233900.860003</v>
      </c>
      <c r="DN82" s="48">
        <v>493482983.67000002</v>
      </c>
      <c r="DO82" s="48">
        <v>0</v>
      </c>
      <c r="DP82" s="48">
        <v>1750862949.54</v>
      </c>
      <c r="DQ82" s="48">
        <v>8529902640.2099991</v>
      </c>
      <c r="DR82" s="48">
        <v>-10539149950.880003</v>
      </c>
      <c r="DS82" s="48">
        <v>3064007463.6499996</v>
      </c>
      <c r="DT82" s="48">
        <v>8046542041.9800053</v>
      </c>
      <c r="DU82" s="48">
        <v>6136586759.9000044</v>
      </c>
      <c r="DV82" s="48">
        <v>0</v>
      </c>
      <c r="DW82" s="48">
        <v>1909955282.0800002</v>
      </c>
      <c r="DX82" s="48">
        <v>16990259046.360003</v>
      </c>
      <c r="DY82" s="48">
        <v>0</v>
      </c>
      <c r="DZ82" s="48">
        <v>0</v>
      </c>
      <c r="EA82" s="48">
        <v>0</v>
      </c>
      <c r="EB82" s="48">
        <v>0</v>
      </c>
      <c r="EC82" s="48">
        <v>16858591941.630003</v>
      </c>
      <c r="ED82" s="48">
        <v>131667104.73</v>
      </c>
      <c r="EE82" s="48">
        <v>0</v>
      </c>
      <c r="EF82" s="48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3B50-B7C5-4A06-A75C-4300F00BE065}">
  <dimension ref="A1:V82"/>
  <sheetViews>
    <sheetView showGridLines="0" zoomScale="80" zoomScaleNormal="80" workbookViewId="0">
      <pane xSplit="3" ySplit="6" topLeftCell="D7" activePane="bottomRight" state="frozen"/>
      <selection activeCell="E3" sqref="E3:F3"/>
      <selection pane="topRight" activeCell="E3" sqref="E3:F3"/>
      <selection pane="bottomLeft" activeCell="E3" sqref="E3:F3"/>
      <selection pane="bottomRight" activeCell="D7" sqref="D7"/>
    </sheetView>
  </sheetViews>
  <sheetFormatPr defaultColWidth="9.140625" defaultRowHeight="12.75"/>
  <cols>
    <col min="1" max="1" width="58.7109375" style="5" customWidth="1"/>
    <col min="2" max="3" width="15.7109375" style="5" customWidth="1"/>
    <col min="4" max="4" width="17.42578125" style="5" bestFit="1" customWidth="1"/>
    <col min="5" max="11" width="15.7109375" style="5" customWidth="1"/>
    <col min="12" max="13" width="17.42578125" style="5" bestFit="1" customWidth="1"/>
    <col min="14" max="20" width="15.7109375" style="5" customWidth="1"/>
    <col min="21" max="16384" width="9.140625" style="5"/>
  </cols>
  <sheetData>
    <row r="1" spans="1:22" s="36" customFormat="1" ht="15" customHeight="1">
      <c r="A1" s="33" t="s">
        <v>308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2" s="36" customFormat="1" ht="15" customHeight="1">
      <c r="A2" s="33" t="s">
        <v>424</v>
      </c>
      <c r="B2" s="34" t="s">
        <v>310</v>
      </c>
      <c r="C2" s="34"/>
      <c r="D2" s="34"/>
      <c r="E2" s="34"/>
      <c r="F2" s="34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2" s="36" customFormat="1" ht="15" customHeight="1">
      <c r="A3" s="33" t="s">
        <v>311</v>
      </c>
      <c r="B3" s="34" t="s">
        <v>310</v>
      </c>
      <c r="C3" s="34"/>
      <c r="D3" s="34"/>
      <c r="E3" s="34"/>
      <c r="F3" s="34"/>
      <c r="G3" s="34"/>
      <c r="H3" s="34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2" ht="15" customHeight="1"/>
    <row r="5" spans="1:22" ht="22.5" customHeight="1">
      <c r="D5" s="37">
        <v>1</v>
      </c>
      <c r="E5" s="1">
        <v>10</v>
      </c>
      <c r="F5" s="1">
        <v>11</v>
      </c>
      <c r="G5" s="1">
        <v>12</v>
      </c>
      <c r="H5" s="1">
        <v>13</v>
      </c>
      <c r="I5" s="1">
        <v>14</v>
      </c>
      <c r="J5" s="1">
        <v>18</v>
      </c>
      <c r="K5" s="1">
        <v>19</v>
      </c>
      <c r="L5" s="39">
        <v>2</v>
      </c>
      <c r="M5" s="1">
        <v>22</v>
      </c>
      <c r="N5" s="1">
        <v>23</v>
      </c>
      <c r="O5" s="1">
        <v>24</v>
      </c>
      <c r="P5" s="1">
        <v>25</v>
      </c>
      <c r="Q5" s="1">
        <v>26</v>
      </c>
      <c r="R5" s="1">
        <v>27</v>
      </c>
      <c r="S5" s="1">
        <v>28</v>
      </c>
      <c r="T5" s="1">
        <v>29</v>
      </c>
      <c r="U5" s="51"/>
      <c r="V5" s="51"/>
    </row>
    <row r="6" spans="1:22" ht="80.099999999999994" customHeight="1">
      <c r="A6" s="39" t="s">
        <v>312</v>
      </c>
      <c r="B6" s="39" t="s">
        <v>313</v>
      </c>
      <c r="C6" s="39" t="s">
        <v>314</v>
      </c>
      <c r="D6" s="37" t="s">
        <v>315</v>
      </c>
      <c r="E6" s="1" t="s">
        <v>316</v>
      </c>
      <c r="F6" s="1" t="s">
        <v>323</v>
      </c>
      <c r="G6" s="1" t="s">
        <v>332</v>
      </c>
      <c r="H6" s="1" t="s">
        <v>343</v>
      </c>
      <c r="I6" s="1" t="s">
        <v>353</v>
      </c>
      <c r="J6" s="1" t="s">
        <v>361</v>
      </c>
      <c r="K6" s="1" t="s">
        <v>365</v>
      </c>
      <c r="L6" s="39" t="s">
        <v>374</v>
      </c>
      <c r="M6" s="1" t="s">
        <v>332</v>
      </c>
      <c r="N6" s="1" t="s">
        <v>343</v>
      </c>
      <c r="O6" s="1" t="s">
        <v>353</v>
      </c>
      <c r="P6" s="1" t="s">
        <v>377</v>
      </c>
      <c r="Q6" s="1" t="s">
        <v>387</v>
      </c>
      <c r="R6" s="1" t="s">
        <v>398</v>
      </c>
      <c r="S6" s="1" t="s">
        <v>406</v>
      </c>
      <c r="T6" s="1" t="s">
        <v>408</v>
      </c>
      <c r="U6" s="51"/>
      <c r="V6" s="51"/>
    </row>
    <row r="7" spans="1:22" ht="13.5" customHeight="1">
      <c r="A7" s="40" t="s">
        <v>0</v>
      </c>
      <c r="B7" s="41">
        <v>1001</v>
      </c>
      <c r="C7" s="42" t="s">
        <v>415</v>
      </c>
      <c r="D7" s="43">
        <v>4395787943.5900002</v>
      </c>
      <c r="E7" s="43">
        <v>2351986522.8500004</v>
      </c>
      <c r="F7" s="43">
        <v>0</v>
      </c>
      <c r="G7" s="43">
        <v>1742252683.1300001</v>
      </c>
      <c r="H7" s="43">
        <v>0</v>
      </c>
      <c r="I7" s="43">
        <v>10753224.960000001</v>
      </c>
      <c r="J7" s="43">
        <v>201411136.46000001</v>
      </c>
      <c r="K7" s="43">
        <v>89384376.189999998</v>
      </c>
      <c r="L7" s="43">
        <v>136235020.06</v>
      </c>
      <c r="M7" s="43">
        <v>0</v>
      </c>
      <c r="N7" s="43">
        <v>0</v>
      </c>
      <c r="O7" s="43">
        <v>0</v>
      </c>
      <c r="P7" s="43">
        <v>0</v>
      </c>
      <c r="Q7" s="43">
        <v>79172977.659999996</v>
      </c>
      <c r="R7" s="43">
        <v>9733.4000000000015</v>
      </c>
      <c r="S7" s="43">
        <v>0</v>
      </c>
      <c r="T7" s="43">
        <v>57052309</v>
      </c>
      <c r="U7" s="51"/>
      <c r="V7" s="51"/>
    </row>
    <row r="8" spans="1:22" ht="13.5" customHeight="1">
      <c r="A8" s="40" t="s">
        <v>27</v>
      </c>
      <c r="B8" s="41">
        <v>1003</v>
      </c>
      <c r="C8" s="42" t="s">
        <v>415</v>
      </c>
      <c r="D8" s="43">
        <v>37466004010.850006</v>
      </c>
      <c r="E8" s="43">
        <v>11948980204.23</v>
      </c>
      <c r="F8" s="43">
        <v>13858727343.57</v>
      </c>
      <c r="G8" s="43">
        <v>6173014823.5200005</v>
      </c>
      <c r="H8" s="43">
        <v>0</v>
      </c>
      <c r="I8" s="43">
        <v>58302554.560000002</v>
      </c>
      <c r="J8" s="43">
        <v>5104735319.170001</v>
      </c>
      <c r="K8" s="43">
        <v>322243765.80000001</v>
      </c>
      <c r="L8" s="43">
        <v>2647834615.5600004</v>
      </c>
      <c r="M8" s="43">
        <v>0</v>
      </c>
      <c r="N8" s="43">
        <v>0</v>
      </c>
      <c r="O8" s="43">
        <v>0</v>
      </c>
      <c r="P8" s="43">
        <v>17094836.079999998</v>
      </c>
      <c r="Q8" s="43">
        <v>604306243.1400001</v>
      </c>
      <c r="R8" s="43">
        <v>1171666997.6500001</v>
      </c>
      <c r="S8" s="43">
        <v>17851673.719999999</v>
      </c>
      <c r="T8" s="43">
        <v>836914864.97000003</v>
      </c>
      <c r="U8" s="51"/>
      <c r="V8" s="51"/>
    </row>
    <row r="9" spans="1:22" ht="13.5" customHeight="1">
      <c r="A9" s="40" t="s">
        <v>28</v>
      </c>
      <c r="B9" s="41">
        <v>1004</v>
      </c>
      <c r="C9" s="42" t="s">
        <v>415</v>
      </c>
      <c r="D9" s="43">
        <v>172520265028.41995</v>
      </c>
      <c r="E9" s="43">
        <v>82466230307.189987</v>
      </c>
      <c r="F9" s="43">
        <v>40861727248.260002</v>
      </c>
      <c r="G9" s="43">
        <v>35078143509.649994</v>
      </c>
      <c r="H9" s="43">
        <v>74167206.749999985</v>
      </c>
      <c r="I9" s="43">
        <v>176980810.72000003</v>
      </c>
      <c r="J9" s="43">
        <v>12182219851.240002</v>
      </c>
      <c r="K9" s="43">
        <v>1680796094.6099999</v>
      </c>
      <c r="L9" s="43">
        <v>23990427655.250004</v>
      </c>
      <c r="M9" s="43">
        <v>0</v>
      </c>
      <c r="N9" s="43">
        <v>0</v>
      </c>
      <c r="O9" s="43">
        <v>385529.71</v>
      </c>
      <c r="P9" s="43">
        <v>18436745147.240002</v>
      </c>
      <c r="Q9" s="43">
        <v>2163185414.5599999</v>
      </c>
      <c r="R9" s="43">
        <v>1360291273.1299999</v>
      </c>
      <c r="S9" s="43">
        <v>63102545.400000006</v>
      </c>
      <c r="T9" s="43">
        <v>1966717745.21</v>
      </c>
      <c r="U9" s="51"/>
      <c r="V9" s="51"/>
    </row>
    <row r="10" spans="1:22" ht="13.5" customHeight="1">
      <c r="A10" s="40" t="s">
        <v>31</v>
      </c>
      <c r="B10" s="41">
        <v>1005</v>
      </c>
      <c r="C10" s="42" t="s">
        <v>415</v>
      </c>
      <c r="D10" s="43">
        <v>139509336770.45001</v>
      </c>
      <c r="E10" s="43">
        <v>38872587231.230164</v>
      </c>
      <c r="F10" s="43">
        <v>60995842340.900009</v>
      </c>
      <c r="G10" s="43">
        <v>27211596742.469772</v>
      </c>
      <c r="H10" s="43">
        <v>0</v>
      </c>
      <c r="I10" s="43">
        <v>877927903.83999991</v>
      </c>
      <c r="J10" s="43">
        <v>10480458324.690079</v>
      </c>
      <c r="K10" s="43">
        <v>1070924227.3200101</v>
      </c>
      <c r="L10" s="43">
        <v>11824724691.680002</v>
      </c>
      <c r="M10" s="43">
        <v>0</v>
      </c>
      <c r="N10" s="43">
        <v>0</v>
      </c>
      <c r="O10" s="43">
        <v>552554.61</v>
      </c>
      <c r="P10" s="43">
        <v>8849400000</v>
      </c>
      <c r="Q10" s="43">
        <v>1514868647.4300001</v>
      </c>
      <c r="R10" s="43">
        <v>1091817257.2</v>
      </c>
      <c r="S10" s="43">
        <v>104745303.44</v>
      </c>
      <c r="T10" s="43">
        <v>263340929</v>
      </c>
      <c r="U10" s="51"/>
      <c r="V10" s="51"/>
    </row>
    <row r="11" spans="1:22" ht="13.5" customHeight="1">
      <c r="A11" s="40" t="s">
        <v>34</v>
      </c>
      <c r="B11" s="41">
        <v>1006</v>
      </c>
      <c r="C11" s="42" t="s">
        <v>415</v>
      </c>
      <c r="D11" s="43">
        <v>27867420276.970001</v>
      </c>
      <c r="E11" s="43">
        <v>17205316455.420002</v>
      </c>
      <c r="F11" s="43">
        <v>6145295649.79</v>
      </c>
      <c r="G11" s="43">
        <v>2534607703.3700004</v>
      </c>
      <c r="H11" s="43">
        <v>2186171.17</v>
      </c>
      <c r="I11" s="43">
        <v>1672585.02</v>
      </c>
      <c r="J11" s="43">
        <v>1452309400.25</v>
      </c>
      <c r="K11" s="43">
        <v>526032311.94999993</v>
      </c>
      <c r="L11" s="43">
        <v>1924625116.05</v>
      </c>
      <c r="M11" s="43">
        <v>0</v>
      </c>
      <c r="N11" s="43">
        <v>0</v>
      </c>
      <c r="O11" s="43">
        <v>189769.37</v>
      </c>
      <c r="P11" s="43">
        <v>29757356.09</v>
      </c>
      <c r="Q11" s="43">
        <v>1354379523.78</v>
      </c>
      <c r="R11" s="43">
        <v>14514675.239999998</v>
      </c>
      <c r="S11" s="43">
        <v>0</v>
      </c>
      <c r="T11" s="43">
        <v>525783791.56999999</v>
      </c>
      <c r="U11" s="51"/>
      <c r="V11" s="51"/>
    </row>
    <row r="12" spans="1:22" ht="13.5" customHeight="1">
      <c r="A12" s="40" t="s">
        <v>37</v>
      </c>
      <c r="B12" s="41">
        <v>1007</v>
      </c>
      <c r="C12" s="42" t="s">
        <v>415</v>
      </c>
      <c r="D12" s="43">
        <v>1499205611.7700002</v>
      </c>
      <c r="E12" s="43">
        <v>794514283.63</v>
      </c>
      <c r="F12" s="43">
        <v>0</v>
      </c>
      <c r="G12" s="43">
        <v>591054102.03000009</v>
      </c>
      <c r="H12" s="43">
        <v>16309056.139999995</v>
      </c>
      <c r="I12" s="43">
        <v>28963.25</v>
      </c>
      <c r="J12" s="43">
        <v>77429479.760000005</v>
      </c>
      <c r="K12" s="43">
        <v>19869726.959999997</v>
      </c>
      <c r="L12" s="43">
        <v>193539740.15999997</v>
      </c>
      <c r="M12" s="43">
        <v>61831791.710000001</v>
      </c>
      <c r="N12" s="43">
        <v>8044089.8699999973</v>
      </c>
      <c r="O12" s="43">
        <v>0</v>
      </c>
      <c r="P12" s="43">
        <v>0</v>
      </c>
      <c r="Q12" s="43">
        <v>22478008.019999996</v>
      </c>
      <c r="R12" s="43">
        <v>0</v>
      </c>
      <c r="S12" s="43">
        <v>12863583.82</v>
      </c>
      <c r="T12" s="43">
        <v>88322266.739999995</v>
      </c>
      <c r="U12" s="51"/>
      <c r="V12" s="51"/>
    </row>
    <row r="13" spans="1:22" ht="13.5" customHeight="1">
      <c r="A13" s="40" t="s">
        <v>40</v>
      </c>
      <c r="B13" s="41">
        <v>1008</v>
      </c>
      <c r="C13" s="42" t="s">
        <v>415</v>
      </c>
      <c r="D13" s="43">
        <v>28194335736.200001</v>
      </c>
      <c r="E13" s="43">
        <v>13201421442.829998</v>
      </c>
      <c r="F13" s="43">
        <v>8643914156.2799988</v>
      </c>
      <c r="G13" s="43">
        <v>2919383166.1299992</v>
      </c>
      <c r="H13" s="43">
        <v>0</v>
      </c>
      <c r="I13" s="43">
        <v>60303341.810000002</v>
      </c>
      <c r="J13" s="43">
        <v>2545768345.4700003</v>
      </c>
      <c r="K13" s="43">
        <v>823545283.68000007</v>
      </c>
      <c r="L13" s="43">
        <v>4647704148.9399996</v>
      </c>
      <c r="M13" s="43">
        <v>0</v>
      </c>
      <c r="N13" s="43">
        <v>0</v>
      </c>
      <c r="O13" s="43">
        <v>50000</v>
      </c>
      <c r="P13" s="43">
        <v>16651655.43</v>
      </c>
      <c r="Q13" s="43">
        <v>4125497743.5700002</v>
      </c>
      <c r="R13" s="43">
        <v>292953779.82999992</v>
      </c>
      <c r="S13" s="43">
        <v>0</v>
      </c>
      <c r="T13" s="43">
        <v>212550970.11000001</v>
      </c>
      <c r="U13" s="51"/>
      <c r="V13" s="51"/>
    </row>
    <row r="14" spans="1:22" ht="13.5" customHeight="1">
      <c r="A14" s="40" t="s">
        <v>43</v>
      </c>
      <c r="B14" s="41">
        <v>1009</v>
      </c>
      <c r="C14" s="42" t="s">
        <v>415</v>
      </c>
      <c r="D14" s="43">
        <v>131502708199.40001</v>
      </c>
      <c r="E14" s="43">
        <v>31841853401.139996</v>
      </c>
      <c r="F14" s="43">
        <v>54882147208</v>
      </c>
      <c r="G14" s="43">
        <v>29988148979.009995</v>
      </c>
      <c r="H14" s="43">
        <v>348425.38</v>
      </c>
      <c r="I14" s="43">
        <v>1300308328.05</v>
      </c>
      <c r="J14" s="43">
        <v>13052835639.470001</v>
      </c>
      <c r="K14" s="43">
        <v>437066218.35000002</v>
      </c>
      <c r="L14" s="43">
        <v>2704819315.5500002</v>
      </c>
      <c r="M14" s="43">
        <v>0</v>
      </c>
      <c r="N14" s="43">
        <v>0</v>
      </c>
      <c r="O14" s="43">
        <v>0</v>
      </c>
      <c r="P14" s="43">
        <v>17262968.09</v>
      </c>
      <c r="Q14" s="43">
        <v>1177979092.04</v>
      </c>
      <c r="R14" s="43">
        <v>1061127029.2000003</v>
      </c>
      <c r="S14" s="43">
        <v>0</v>
      </c>
      <c r="T14" s="43">
        <v>448450226.22000003</v>
      </c>
      <c r="U14" s="51"/>
      <c r="V14" s="51"/>
    </row>
    <row r="15" spans="1:22" ht="13.5" customHeight="1">
      <c r="A15" s="40" t="s">
        <v>46</v>
      </c>
      <c r="B15" s="41">
        <v>1010</v>
      </c>
      <c r="C15" s="42" t="s">
        <v>415</v>
      </c>
      <c r="D15" s="43">
        <v>7888381628.8099985</v>
      </c>
      <c r="E15" s="43">
        <v>3389650274.9200001</v>
      </c>
      <c r="F15" s="43">
        <v>3285017655.4699998</v>
      </c>
      <c r="G15" s="43">
        <v>462762567.58999985</v>
      </c>
      <c r="H15" s="43">
        <v>0</v>
      </c>
      <c r="I15" s="43">
        <v>0</v>
      </c>
      <c r="J15" s="43">
        <v>750971894.61999941</v>
      </c>
      <c r="K15" s="43">
        <v>-20763.789999999106</v>
      </c>
      <c r="L15" s="43">
        <v>5510608329.9500036</v>
      </c>
      <c r="M15" s="43">
        <v>0</v>
      </c>
      <c r="N15" s="43">
        <v>0</v>
      </c>
      <c r="O15" s="43">
        <v>0</v>
      </c>
      <c r="P15" s="43">
        <v>0</v>
      </c>
      <c r="Q15" s="43">
        <v>23339282.460000008</v>
      </c>
      <c r="R15" s="43">
        <v>94570716.950000018</v>
      </c>
      <c r="S15" s="43">
        <v>5358916905.4200039</v>
      </c>
      <c r="T15" s="43">
        <v>33781425.119999997</v>
      </c>
      <c r="U15" s="51"/>
      <c r="V15" s="51"/>
    </row>
    <row r="16" spans="1:22" ht="13.5" customHeight="1">
      <c r="A16" s="40" t="s">
        <v>49</v>
      </c>
      <c r="B16" s="41">
        <v>1011</v>
      </c>
      <c r="C16" s="42" t="s">
        <v>415</v>
      </c>
      <c r="D16" s="43">
        <v>1761407668.8400044</v>
      </c>
      <c r="E16" s="43">
        <v>668905410.40000904</v>
      </c>
      <c r="F16" s="43">
        <v>0</v>
      </c>
      <c r="G16" s="43">
        <v>870574728.7599951</v>
      </c>
      <c r="H16" s="43">
        <v>7612486.9299999997</v>
      </c>
      <c r="I16" s="43">
        <v>4001411.08</v>
      </c>
      <c r="J16" s="43">
        <v>194200053.97000018</v>
      </c>
      <c r="K16" s="43">
        <v>16113577.699999999</v>
      </c>
      <c r="L16" s="43">
        <v>355943310.33999997</v>
      </c>
      <c r="M16" s="43">
        <v>175585203</v>
      </c>
      <c r="N16" s="43">
        <v>0</v>
      </c>
      <c r="O16" s="43">
        <v>0</v>
      </c>
      <c r="P16" s="43">
        <v>0</v>
      </c>
      <c r="Q16" s="43">
        <v>28790565.109999985</v>
      </c>
      <c r="R16" s="43">
        <v>6255841.2300000023</v>
      </c>
      <c r="S16" s="43">
        <v>36944153</v>
      </c>
      <c r="T16" s="43">
        <v>108367548</v>
      </c>
      <c r="U16" s="51"/>
      <c r="V16" s="51"/>
    </row>
    <row r="17" spans="1:22" ht="13.5" customHeight="1">
      <c r="A17" s="40" t="s">
        <v>3</v>
      </c>
      <c r="B17" s="41">
        <v>1012</v>
      </c>
      <c r="C17" s="42" t="s">
        <v>415</v>
      </c>
      <c r="D17" s="43">
        <v>17590450470.280003</v>
      </c>
      <c r="E17" s="43">
        <v>9743466284.5699997</v>
      </c>
      <c r="F17" s="43">
        <v>5026787062.1000004</v>
      </c>
      <c r="G17" s="43">
        <v>1772391043.0499997</v>
      </c>
      <c r="H17" s="43">
        <v>0</v>
      </c>
      <c r="I17" s="43">
        <v>35897022.920000002</v>
      </c>
      <c r="J17" s="43">
        <v>1011880869.8099999</v>
      </c>
      <c r="K17" s="43">
        <v>28187.83</v>
      </c>
      <c r="L17" s="43">
        <v>1859163644.3999999</v>
      </c>
      <c r="M17" s="43">
        <v>0</v>
      </c>
      <c r="N17" s="43">
        <v>0</v>
      </c>
      <c r="O17" s="43">
        <v>12091.52</v>
      </c>
      <c r="P17" s="43">
        <v>1666108326.4099998</v>
      </c>
      <c r="Q17" s="43">
        <v>30789211.229999989</v>
      </c>
      <c r="R17" s="43">
        <v>162254015.24000001</v>
      </c>
      <c r="S17" s="43">
        <v>0</v>
      </c>
      <c r="T17" s="43">
        <v>0</v>
      </c>
      <c r="U17" s="51"/>
      <c r="V17" s="51"/>
    </row>
    <row r="18" spans="1:22" ht="13.5" customHeight="1">
      <c r="A18" s="40" t="s">
        <v>5</v>
      </c>
      <c r="B18" s="41">
        <v>1013</v>
      </c>
      <c r="C18" s="42" t="s">
        <v>415</v>
      </c>
      <c r="D18" s="43">
        <v>2919528247.6999993</v>
      </c>
      <c r="E18" s="43">
        <v>1321406660.9899998</v>
      </c>
      <c r="F18" s="43">
        <v>58102880.920000002</v>
      </c>
      <c r="G18" s="43">
        <v>1073831918.6099997</v>
      </c>
      <c r="H18" s="43">
        <v>0</v>
      </c>
      <c r="I18" s="43">
        <v>0</v>
      </c>
      <c r="J18" s="43">
        <v>422039802.13999999</v>
      </c>
      <c r="K18" s="43">
        <v>44146985.039999999</v>
      </c>
      <c r="L18" s="43">
        <v>146185963.97</v>
      </c>
      <c r="M18" s="43">
        <v>0</v>
      </c>
      <c r="N18" s="43">
        <v>0</v>
      </c>
      <c r="O18" s="43">
        <v>1962718.21</v>
      </c>
      <c r="P18" s="43">
        <v>0</v>
      </c>
      <c r="Q18" s="43">
        <v>50970302.060000002</v>
      </c>
      <c r="R18" s="43">
        <v>16335357.699999999</v>
      </c>
      <c r="S18" s="43">
        <v>0</v>
      </c>
      <c r="T18" s="43">
        <v>76917586</v>
      </c>
      <c r="U18" s="51"/>
      <c r="V18" s="51"/>
    </row>
    <row r="19" spans="1:22" ht="13.5" customHeight="1">
      <c r="A19" s="40" t="s">
        <v>56</v>
      </c>
      <c r="B19" s="41">
        <v>1016</v>
      </c>
      <c r="C19" s="42" t="s">
        <v>415</v>
      </c>
      <c r="D19" s="43">
        <v>1393773788.9600003</v>
      </c>
      <c r="E19" s="43">
        <v>739533619.45999992</v>
      </c>
      <c r="F19" s="43">
        <v>4218830.32</v>
      </c>
      <c r="G19" s="43">
        <v>538727556.69000006</v>
      </c>
      <c r="H19" s="43">
        <v>5495474.7800000003</v>
      </c>
      <c r="I19" s="43">
        <v>4843049.92</v>
      </c>
      <c r="J19" s="43">
        <v>87719202.890000001</v>
      </c>
      <c r="K19" s="43">
        <v>13236054.9</v>
      </c>
      <c r="L19" s="43">
        <v>66263063.590000004</v>
      </c>
      <c r="M19" s="43">
        <v>0</v>
      </c>
      <c r="N19" s="43">
        <v>0</v>
      </c>
      <c r="O19" s="43">
        <v>0</v>
      </c>
      <c r="P19" s="43">
        <v>152527.04999999999</v>
      </c>
      <c r="Q19" s="43">
        <v>22114455.239999995</v>
      </c>
      <c r="R19" s="43">
        <v>6515553.3500000006</v>
      </c>
      <c r="S19" s="43">
        <v>0</v>
      </c>
      <c r="T19" s="43">
        <v>37480527.950000003</v>
      </c>
      <c r="U19" s="51"/>
      <c r="V19" s="51"/>
    </row>
    <row r="20" spans="1:22" ht="13.5" customHeight="1">
      <c r="A20" s="40" t="s">
        <v>59</v>
      </c>
      <c r="B20" s="41">
        <v>1017</v>
      </c>
      <c r="C20" s="42" t="s">
        <v>415</v>
      </c>
      <c r="D20" s="43">
        <v>25167218550.966808</v>
      </c>
      <c r="E20" s="43">
        <v>10855204246.139999</v>
      </c>
      <c r="F20" s="43">
        <v>4164469001.6500006</v>
      </c>
      <c r="G20" s="43">
        <v>7249452788.6724081</v>
      </c>
      <c r="H20" s="43">
        <v>96048.154399999999</v>
      </c>
      <c r="I20" s="43">
        <v>285647963.38999999</v>
      </c>
      <c r="J20" s="43">
        <v>2612348502.96</v>
      </c>
      <c r="K20" s="43">
        <v>0</v>
      </c>
      <c r="L20" s="43">
        <v>2175003334.3177109</v>
      </c>
      <c r="M20" s="43">
        <v>395525606.22771096</v>
      </c>
      <c r="N20" s="43">
        <v>0</v>
      </c>
      <c r="O20" s="43">
        <v>55578.34</v>
      </c>
      <c r="P20" s="43">
        <v>23366163.690000001</v>
      </c>
      <c r="Q20" s="43">
        <v>895423558.68999994</v>
      </c>
      <c r="R20" s="43">
        <v>250161256.42000002</v>
      </c>
      <c r="S20" s="43">
        <v>104981983.67</v>
      </c>
      <c r="T20" s="43">
        <v>505489187.27999997</v>
      </c>
      <c r="U20" s="51"/>
      <c r="V20" s="51"/>
    </row>
    <row r="21" spans="1:22" ht="13.5" customHeight="1">
      <c r="A21" s="40" t="s">
        <v>7</v>
      </c>
      <c r="B21" s="41">
        <v>1018</v>
      </c>
      <c r="C21" s="42" t="s">
        <v>415</v>
      </c>
      <c r="D21" s="43">
        <v>10545781545.250002</v>
      </c>
      <c r="E21" s="43">
        <v>2251409012.1799998</v>
      </c>
      <c r="F21" s="43">
        <v>7410240643.7600002</v>
      </c>
      <c r="G21" s="43">
        <v>277787947.20999992</v>
      </c>
      <c r="H21" s="43">
        <v>-1107771.8899999999</v>
      </c>
      <c r="I21" s="43">
        <v>3207394.3499999996</v>
      </c>
      <c r="J21" s="43">
        <v>611072459.36000001</v>
      </c>
      <c r="K21" s="43">
        <v>-6828139.7199999997</v>
      </c>
      <c r="L21" s="43">
        <v>152307637.63000003</v>
      </c>
      <c r="M21" s="43">
        <v>0</v>
      </c>
      <c r="N21" s="43">
        <v>0</v>
      </c>
      <c r="O21" s="43">
        <v>50000</v>
      </c>
      <c r="P21" s="43">
        <v>9757355.0899999999</v>
      </c>
      <c r="Q21" s="43">
        <v>103440356.02000001</v>
      </c>
      <c r="R21" s="43">
        <v>15109277.329999998</v>
      </c>
      <c r="S21" s="43">
        <v>0</v>
      </c>
      <c r="T21" s="43">
        <v>23950649.190000001</v>
      </c>
      <c r="U21" s="51"/>
      <c r="V21" s="51"/>
    </row>
    <row r="22" spans="1:22" ht="13.5" customHeight="1">
      <c r="A22" s="40" t="s">
        <v>8</v>
      </c>
      <c r="B22" s="41">
        <v>1020</v>
      </c>
      <c r="C22" s="42" t="s">
        <v>415</v>
      </c>
      <c r="D22" s="43">
        <v>178172840757.03003</v>
      </c>
      <c r="E22" s="43">
        <v>12918134988.24</v>
      </c>
      <c r="F22" s="43">
        <v>98173457310.729996</v>
      </c>
      <c r="G22" s="43">
        <v>51943757356.710022</v>
      </c>
      <c r="H22" s="43">
        <v>221593462.12</v>
      </c>
      <c r="I22" s="43">
        <v>1933721574.9199998</v>
      </c>
      <c r="J22" s="43">
        <v>12919532989.380001</v>
      </c>
      <c r="K22" s="43">
        <v>62643074.93</v>
      </c>
      <c r="L22" s="43">
        <v>15156887852.42</v>
      </c>
      <c r="M22" s="43">
        <v>0</v>
      </c>
      <c r="N22" s="43">
        <v>0</v>
      </c>
      <c r="O22" s="43">
        <v>5433678.3999999994</v>
      </c>
      <c r="P22" s="43">
        <v>12374163969.58</v>
      </c>
      <c r="Q22" s="43">
        <v>2472342524.04</v>
      </c>
      <c r="R22" s="43">
        <v>304947680.39999998</v>
      </c>
      <c r="S22" s="43">
        <v>0</v>
      </c>
      <c r="T22" s="43">
        <v>0</v>
      </c>
      <c r="U22" s="51"/>
      <c r="V22" s="51"/>
    </row>
    <row r="23" spans="1:22" ht="13.5" customHeight="1">
      <c r="A23" s="40" t="s">
        <v>66</v>
      </c>
      <c r="B23" s="41">
        <v>1022</v>
      </c>
      <c r="C23" s="42" t="s">
        <v>415</v>
      </c>
      <c r="D23" s="43">
        <v>64449943559.919998</v>
      </c>
      <c r="E23" s="43">
        <v>31800830574.769997</v>
      </c>
      <c r="F23" s="43">
        <v>17680272789.559998</v>
      </c>
      <c r="G23" s="43">
        <v>9241035483.170002</v>
      </c>
      <c r="H23" s="43">
        <v>11062093.68</v>
      </c>
      <c r="I23" s="43">
        <v>24009877.52</v>
      </c>
      <c r="J23" s="43">
        <v>5688228184.6099997</v>
      </c>
      <c r="K23" s="43">
        <v>4504556.6099999994</v>
      </c>
      <c r="L23" s="43">
        <v>4113877011.0200005</v>
      </c>
      <c r="M23" s="43">
        <v>0</v>
      </c>
      <c r="N23" s="43">
        <v>0</v>
      </c>
      <c r="O23" s="43">
        <v>712820.44</v>
      </c>
      <c r="P23" s="43">
        <v>1945717414.04</v>
      </c>
      <c r="Q23" s="43">
        <v>508705254.1500001</v>
      </c>
      <c r="R23" s="43">
        <v>44.999999985098839</v>
      </c>
      <c r="S23" s="43">
        <v>0</v>
      </c>
      <c r="T23" s="43">
        <v>1658741477.3900001</v>
      </c>
      <c r="U23" s="51"/>
      <c r="V23" s="51"/>
    </row>
    <row r="24" spans="1:22" ht="13.5" customHeight="1">
      <c r="A24" s="40" t="s">
        <v>9</v>
      </c>
      <c r="B24" s="41">
        <v>1025</v>
      </c>
      <c r="C24" s="42" t="s">
        <v>415</v>
      </c>
      <c r="D24" s="43">
        <v>15422740465.249998</v>
      </c>
      <c r="E24" s="43">
        <v>6896113950.4899998</v>
      </c>
      <c r="F24" s="43">
        <v>881309625.63</v>
      </c>
      <c r="G24" s="43">
        <v>3050717512.6099992</v>
      </c>
      <c r="H24" s="43">
        <v>748170.56</v>
      </c>
      <c r="I24" s="43">
        <v>2467730445.73</v>
      </c>
      <c r="J24" s="43">
        <v>1966804330.97</v>
      </c>
      <c r="K24" s="43">
        <v>159316429.25999999</v>
      </c>
      <c r="L24" s="43">
        <v>1726083131.96</v>
      </c>
      <c r="M24" s="43">
        <v>0</v>
      </c>
      <c r="N24" s="43">
        <v>0</v>
      </c>
      <c r="O24" s="43">
        <v>92322.3</v>
      </c>
      <c r="P24" s="43">
        <v>1244178833.1500001</v>
      </c>
      <c r="Q24" s="43">
        <v>184313877.39999998</v>
      </c>
      <c r="R24" s="43">
        <v>63848110.660000004</v>
      </c>
      <c r="S24" s="43">
        <v>2760480</v>
      </c>
      <c r="T24" s="43">
        <v>230889508.44999999</v>
      </c>
      <c r="U24" s="51"/>
      <c r="V24" s="51"/>
    </row>
    <row r="25" spans="1:22" ht="13.5" customHeight="1">
      <c r="A25" s="40" t="s">
        <v>71</v>
      </c>
      <c r="B25" s="41">
        <v>1027</v>
      </c>
      <c r="C25" s="42" t="s">
        <v>415</v>
      </c>
      <c r="D25" s="43">
        <v>3923542634.6900077</v>
      </c>
      <c r="E25" s="43">
        <v>2292945086.3600049</v>
      </c>
      <c r="F25" s="43">
        <v>221421462.51000124</v>
      </c>
      <c r="G25" s="43">
        <v>558676449.15000057</v>
      </c>
      <c r="H25" s="43">
        <v>0</v>
      </c>
      <c r="I25" s="43">
        <v>204488222.7400001</v>
      </c>
      <c r="J25" s="43">
        <v>447813195.19000053</v>
      </c>
      <c r="K25" s="43">
        <v>198198218.74000025</v>
      </c>
      <c r="L25" s="43">
        <v>294188587.49000001</v>
      </c>
      <c r="M25" s="43">
        <v>0</v>
      </c>
      <c r="N25" s="43">
        <v>0</v>
      </c>
      <c r="O25" s="43">
        <v>641862.61</v>
      </c>
      <c r="P25" s="43">
        <v>16651655.43</v>
      </c>
      <c r="Q25" s="43">
        <v>77147527.769999996</v>
      </c>
      <c r="R25" s="43">
        <v>27208105.520000003</v>
      </c>
      <c r="S25" s="43">
        <v>767434.83000000007</v>
      </c>
      <c r="T25" s="43">
        <v>171772001.33000001</v>
      </c>
      <c r="U25" s="51"/>
      <c r="V25" s="51"/>
    </row>
    <row r="26" spans="1:22" ht="13.5" customHeight="1">
      <c r="A26" s="40" t="s">
        <v>10</v>
      </c>
      <c r="B26" s="41">
        <v>1028</v>
      </c>
      <c r="C26" s="42" t="s">
        <v>415</v>
      </c>
      <c r="D26" s="43">
        <v>30403931290.580002</v>
      </c>
      <c r="E26" s="43">
        <v>11363025292.75</v>
      </c>
      <c r="F26" s="43">
        <v>7985105870.0200005</v>
      </c>
      <c r="G26" s="43">
        <v>8313527922.5199995</v>
      </c>
      <c r="H26" s="43">
        <v>5737877.0199999996</v>
      </c>
      <c r="I26" s="43">
        <v>51727613.110000007</v>
      </c>
      <c r="J26" s="43">
        <v>2203422853.98</v>
      </c>
      <c r="K26" s="43">
        <v>481383861.18000007</v>
      </c>
      <c r="L26" s="43">
        <v>3280325930.0499997</v>
      </c>
      <c r="M26" s="43">
        <v>0</v>
      </c>
      <c r="N26" s="43">
        <v>0</v>
      </c>
      <c r="O26" s="43">
        <v>315707.78000000003</v>
      </c>
      <c r="P26" s="43">
        <v>16662848.539999999</v>
      </c>
      <c r="Q26" s="43">
        <v>1982254825.5199997</v>
      </c>
      <c r="R26" s="43">
        <v>818925026.61000013</v>
      </c>
      <c r="S26" s="43">
        <v>602813.25</v>
      </c>
      <c r="T26" s="43">
        <v>461564708.35000002</v>
      </c>
      <c r="U26" s="51"/>
      <c r="V26" s="51"/>
    </row>
    <row r="27" spans="1:22" ht="13.5" customHeight="1">
      <c r="A27" s="40" t="s">
        <v>12</v>
      </c>
      <c r="B27" s="41">
        <v>1030</v>
      </c>
      <c r="C27" s="42" t="s">
        <v>415</v>
      </c>
      <c r="D27" s="43">
        <v>55997013525.849991</v>
      </c>
      <c r="E27" s="43">
        <v>3328024399.0599999</v>
      </c>
      <c r="F27" s="43">
        <v>41874474995.269997</v>
      </c>
      <c r="G27" s="43">
        <v>5662967514.7399998</v>
      </c>
      <c r="H27" s="43">
        <v>0</v>
      </c>
      <c r="I27" s="43">
        <v>270614341.66999996</v>
      </c>
      <c r="J27" s="43">
        <v>4858023681.2399998</v>
      </c>
      <c r="K27" s="43">
        <v>2908593.87</v>
      </c>
      <c r="L27" s="43">
        <v>2752265177.8400002</v>
      </c>
      <c r="M27" s="43">
        <v>0</v>
      </c>
      <c r="N27" s="43">
        <v>0</v>
      </c>
      <c r="O27" s="43">
        <v>0</v>
      </c>
      <c r="P27" s="43">
        <v>23446520.939999998</v>
      </c>
      <c r="Q27" s="43">
        <v>1115548989.76</v>
      </c>
      <c r="R27" s="43">
        <v>1018619151.1900002</v>
      </c>
      <c r="S27" s="43">
        <v>4482122</v>
      </c>
      <c r="T27" s="43">
        <v>590168393.95000005</v>
      </c>
      <c r="U27" s="51"/>
      <c r="V27" s="51"/>
    </row>
    <row r="28" spans="1:22" ht="13.5" customHeight="1">
      <c r="A28" s="40" t="s">
        <v>78</v>
      </c>
      <c r="B28" s="41">
        <v>1031</v>
      </c>
      <c r="C28" s="42" t="s">
        <v>415</v>
      </c>
      <c r="D28" s="43">
        <v>2601695698.6300001</v>
      </c>
      <c r="E28" s="43">
        <v>1930259441.3999999</v>
      </c>
      <c r="F28" s="43">
        <v>0</v>
      </c>
      <c r="G28" s="43">
        <v>422556175.78000003</v>
      </c>
      <c r="H28" s="43">
        <v>0</v>
      </c>
      <c r="I28" s="43">
        <v>441916.63</v>
      </c>
      <c r="J28" s="43">
        <v>217721568.81</v>
      </c>
      <c r="K28" s="43">
        <v>30716596.009999998</v>
      </c>
      <c r="L28" s="43">
        <v>99255464.429999992</v>
      </c>
      <c r="M28" s="43">
        <v>0</v>
      </c>
      <c r="N28" s="43">
        <v>0</v>
      </c>
      <c r="O28" s="43">
        <v>19555325.710000001</v>
      </c>
      <c r="P28" s="43">
        <v>63572</v>
      </c>
      <c r="Q28" s="43">
        <v>15447932.99</v>
      </c>
      <c r="R28" s="43">
        <v>39767365.209999993</v>
      </c>
      <c r="S28" s="43">
        <v>0</v>
      </c>
      <c r="T28" s="43">
        <v>24421268.52</v>
      </c>
      <c r="U28" s="51"/>
      <c r="V28" s="51"/>
    </row>
    <row r="29" spans="1:22" ht="13.5" customHeight="1">
      <c r="A29" s="40" t="s">
        <v>81</v>
      </c>
      <c r="B29" s="41">
        <v>1032</v>
      </c>
      <c r="C29" s="42" t="s">
        <v>415</v>
      </c>
      <c r="D29" s="43">
        <v>42538056912.330002</v>
      </c>
      <c r="E29" s="43">
        <v>23133168606.119995</v>
      </c>
      <c r="F29" s="43">
        <v>5983337893.9300003</v>
      </c>
      <c r="G29" s="43">
        <v>9488764178.4300003</v>
      </c>
      <c r="H29" s="43">
        <v>4487618.87</v>
      </c>
      <c r="I29" s="43">
        <v>288743273.47000003</v>
      </c>
      <c r="J29" s="43">
        <v>3396386399.7799997</v>
      </c>
      <c r="K29" s="43">
        <v>243168941.73000002</v>
      </c>
      <c r="L29" s="43">
        <v>1677623441.4200003</v>
      </c>
      <c r="M29" s="43">
        <v>0</v>
      </c>
      <c r="N29" s="43">
        <v>0</v>
      </c>
      <c r="O29" s="43">
        <v>0</v>
      </c>
      <c r="P29" s="43">
        <v>16666655.43</v>
      </c>
      <c r="Q29" s="43">
        <v>1350511600.9800003</v>
      </c>
      <c r="R29" s="43">
        <v>42858337.020000011</v>
      </c>
      <c r="S29" s="43">
        <v>13147324.67</v>
      </c>
      <c r="T29" s="43">
        <v>254439523.31999999</v>
      </c>
      <c r="U29" s="51"/>
      <c r="V29" s="51"/>
    </row>
    <row r="30" spans="1:22" ht="13.5" customHeight="1">
      <c r="A30" s="40" t="s">
        <v>13</v>
      </c>
      <c r="B30" s="41">
        <v>1034</v>
      </c>
      <c r="C30" s="42" t="s">
        <v>415</v>
      </c>
      <c r="D30" s="43">
        <v>6565419463.9499998</v>
      </c>
      <c r="E30" s="43">
        <v>5071535709.4499998</v>
      </c>
      <c r="F30" s="43">
        <v>659990691.14999998</v>
      </c>
      <c r="G30" s="43">
        <v>325783905.16000009</v>
      </c>
      <c r="H30" s="43">
        <v>0</v>
      </c>
      <c r="I30" s="43">
        <v>71473063.069999993</v>
      </c>
      <c r="J30" s="43">
        <v>346935366.10000002</v>
      </c>
      <c r="K30" s="43">
        <v>89700729.020000011</v>
      </c>
      <c r="L30" s="43">
        <v>1701235836.97</v>
      </c>
      <c r="M30" s="43">
        <v>0</v>
      </c>
      <c r="N30" s="43">
        <v>0</v>
      </c>
      <c r="O30" s="43">
        <v>0</v>
      </c>
      <c r="P30" s="43">
        <v>1535466265.74</v>
      </c>
      <c r="Q30" s="43">
        <v>127678144.77000001</v>
      </c>
      <c r="R30" s="43">
        <v>6094866.6600000001</v>
      </c>
      <c r="S30" s="43">
        <v>0</v>
      </c>
      <c r="T30" s="43">
        <v>31996559.800000001</v>
      </c>
      <c r="U30" s="51"/>
      <c r="V30" s="51"/>
    </row>
    <row r="31" spans="1:22" ht="13.5" customHeight="1">
      <c r="A31" s="40" t="s">
        <v>6</v>
      </c>
      <c r="B31" s="41">
        <v>1035</v>
      </c>
      <c r="C31" s="42" t="s">
        <v>415</v>
      </c>
      <c r="D31" s="43">
        <v>80447397864.720001</v>
      </c>
      <c r="E31" s="43">
        <v>46677061522.139999</v>
      </c>
      <c r="F31" s="43">
        <v>22047425359.779999</v>
      </c>
      <c r="G31" s="43">
        <v>5516596072.5300007</v>
      </c>
      <c r="H31" s="43">
        <v>673159.15</v>
      </c>
      <c r="I31" s="43">
        <v>1037983818.3</v>
      </c>
      <c r="J31" s="43">
        <v>4714673784.0699997</v>
      </c>
      <c r="K31" s="43">
        <v>452984148.75</v>
      </c>
      <c r="L31" s="43">
        <v>1381367865.75</v>
      </c>
      <c r="M31" s="43">
        <v>0</v>
      </c>
      <c r="N31" s="43">
        <v>0</v>
      </c>
      <c r="O31" s="43">
        <v>0</v>
      </c>
      <c r="P31" s="43">
        <v>3795780.57</v>
      </c>
      <c r="Q31" s="43">
        <v>488748121.36000001</v>
      </c>
      <c r="R31" s="43">
        <v>193443020.38</v>
      </c>
      <c r="S31" s="43">
        <v>29883778.850000001</v>
      </c>
      <c r="T31" s="43">
        <v>665497164.59000003</v>
      </c>
      <c r="U31" s="51"/>
      <c r="V31" s="51"/>
    </row>
    <row r="32" spans="1:22" ht="13.5" customHeight="1">
      <c r="A32" s="40" t="s">
        <v>18</v>
      </c>
      <c r="B32" s="41">
        <v>1036</v>
      </c>
      <c r="C32" s="42" t="s">
        <v>415</v>
      </c>
      <c r="D32" s="43">
        <v>28023661632.639999</v>
      </c>
      <c r="E32" s="43">
        <v>17058186141.34</v>
      </c>
      <c r="F32" s="43">
        <v>3158142770.2000003</v>
      </c>
      <c r="G32" s="43">
        <v>4451193493.7299995</v>
      </c>
      <c r="H32" s="43">
        <v>0</v>
      </c>
      <c r="I32" s="43">
        <v>101198.25</v>
      </c>
      <c r="J32" s="43">
        <v>3175868378.0899997</v>
      </c>
      <c r="K32" s="43">
        <v>180169651.03</v>
      </c>
      <c r="L32" s="43">
        <v>1409479919.8500001</v>
      </c>
      <c r="M32" s="43">
        <v>0</v>
      </c>
      <c r="N32" s="43">
        <v>0</v>
      </c>
      <c r="O32" s="43">
        <v>228838.5</v>
      </c>
      <c r="P32" s="43">
        <v>16651655.439999999</v>
      </c>
      <c r="Q32" s="43">
        <v>1353294087.3500001</v>
      </c>
      <c r="R32" s="43">
        <v>36321658.559999995</v>
      </c>
      <c r="S32" s="43">
        <v>2983680</v>
      </c>
      <c r="T32" s="43">
        <v>0</v>
      </c>
      <c r="U32" s="51"/>
      <c r="V32" s="51"/>
    </row>
    <row r="33" spans="1:22" ht="13.5" customHeight="1">
      <c r="A33" s="40" t="s">
        <v>15</v>
      </c>
      <c r="B33" s="41">
        <v>1037</v>
      </c>
      <c r="C33" s="42" t="s">
        <v>415</v>
      </c>
      <c r="D33" s="43">
        <v>7319675211.8800001</v>
      </c>
      <c r="E33" s="43">
        <v>3619310876.4299998</v>
      </c>
      <c r="F33" s="43">
        <v>1867252656.75</v>
      </c>
      <c r="G33" s="43">
        <v>595922696.41000009</v>
      </c>
      <c r="H33" s="43">
        <v>47216802.759999998</v>
      </c>
      <c r="I33" s="43">
        <v>134170365.02000001</v>
      </c>
      <c r="J33" s="43">
        <v>849686011.30999994</v>
      </c>
      <c r="K33" s="43">
        <v>206115803.20000002</v>
      </c>
      <c r="L33" s="43">
        <v>419511046.92000002</v>
      </c>
      <c r="M33" s="43">
        <v>0</v>
      </c>
      <c r="N33" s="43">
        <v>0</v>
      </c>
      <c r="O33" s="43">
        <v>122327.87</v>
      </c>
      <c r="P33" s="43">
        <v>379415178.44</v>
      </c>
      <c r="Q33" s="43">
        <v>14043136</v>
      </c>
      <c r="R33" s="43">
        <v>20031824.609999999</v>
      </c>
      <c r="S33" s="43">
        <v>0</v>
      </c>
      <c r="T33" s="43">
        <v>5898580</v>
      </c>
      <c r="U33" s="51"/>
      <c r="V33" s="51"/>
    </row>
    <row r="34" spans="1:22" ht="13.5" customHeight="1">
      <c r="A34" s="40" t="s">
        <v>17</v>
      </c>
      <c r="B34" s="41">
        <v>1038</v>
      </c>
      <c r="C34" s="42" t="s">
        <v>415</v>
      </c>
      <c r="D34" s="43">
        <v>12147572026.440002</v>
      </c>
      <c r="E34" s="43">
        <v>1813583379.4900038</v>
      </c>
      <c r="F34" s="43">
        <v>4605236813.2999983</v>
      </c>
      <c r="G34" s="43">
        <v>1461285461.7499988</v>
      </c>
      <c r="H34" s="43">
        <v>0</v>
      </c>
      <c r="I34" s="43">
        <v>12348565.859999999</v>
      </c>
      <c r="J34" s="43">
        <v>4243977380.7900019</v>
      </c>
      <c r="K34" s="43">
        <v>11140425.249999987</v>
      </c>
      <c r="L34" s="43">
        <v>164661905.5200001</v>
      </c>
      <c r="M34" s="43">
        <v>0</v>
      </c>
      <c r="N34" s="43">
        <v>0</v>
      </c>
      <c r="O34" s="43">
        <v>0</v>
      </c>
      <c r="P34" s="43">
        <v>3401.59</v>
      </c>
      <c r="Q34" s="43">
        <v>82678222.690000013</v>
      </c>
      <c r="R34" s="43">
        <v>32765827.829999998</v>
      </c>
      <c r="S34" s="43">
        <v>49214453.410000086</v>
      </c>
      <c r="T34" s="43">
        <v>0</v>
      </c>
      <c r="U34" s="51"/>
      <c r="V34" s="51"/>
    </row>
    <row r="35" spans="1:22" ht="13.5" customHeight="1">
      <c r="A35" s="40" t="s">
        <v>94</v>
      </c>
      <c r="B35" s="41">
        <v>1039</v>
      </c>
      <c r="C35" s="42" t="s">
        <v>415</v>
      </c>
      <c r="D35" s="43">
        <v>4064607306.4299989</v>
      </c>
      <c r="E35" s="43">
        <v>2643321836.3799992</v>
      </c>
      <c r="F35" s="43">
        <v>0</v>
      </c>
      <c r="G35" s="43">
        <v>768480577.80999994</v>
      </c>
      <c r="H35" s="43">
        <v>0</v>
      </c>
      <c r="I35" s="43">
        <v>1911890.66</v>
      </c>
      <c r="J35" s="43">
        <v>477174551.52000004</v>
      </c>
      <c r="K35" s="43">
        <v>173718450.05999997</v>
      </c>
      <c r="L35" s="43">
        <v>302003007.53999996</v>
      </c>
      <c r="M35" s="43">
        <v>0</v>
      </c>
      <c r="N35" s="43">
        <v>0</v>
      </c>
      <c r="O35" s="43">
        <v>0</v>
      </c>
      <c r="P35" s="43">
        <v>0</v>
      </c>
      <c r="Q35" s="43">
        <v>58294819.569999993</v>
      </c>
      <c r="R35" s="43">
        <v>682861.68000000063</v>
      </c>
      <c r="S35" s="43">
        <v>0</v>
      </c>
      <c r="T35" s="43">
        <v>243025326.28999999</v>
      </c>
      <c r="U35" s="51"/>
      <c r="V35" s="51"/>
    </row>
    <row r="36" spans="1:22" ht="13.5" customHeight="1">
      <c r="A36" s="40" t="s">
        <v>97</v>
      </c>
      <c r="B36" s="41">
        <v>1040</v>
      </c>
      <c r="C36" s="42" t="s">
        <v>415</v>
      </c>
      <c r="D36" s="43">
        <v>3996716910</v>
      </c>
      <c r="E36" s="43">
        <v>1904518678</v>
      </c>
      <c r="F36" s="43">
        <v>99231328</v>
      </c>
      <c r="G36" s="43">
        <v>1581539515</v>
      </c>
      <c r="H36" s="43">
        <v>0</v>
      </c>
      <c r="I36" s="43">
        <v>288861</v>
      </c>
      <c r="J36" s="43">
        <v>390748085</v>
      </c>
      <c r="K36" s="43">
        <v>20390443</v>
      </c>
      <c r="L36" s="43">
        <v>126581203</v>
      </c>
      <c r="M36" s="43">
        <v>0</v>
      </c>
      <c r="N36" s="43">
        <v>0</v>
      </c>
      <c r="O36" s="43">
        <v>730390</v>
      </c>
      <c r="P36" s="43">
        <v>0</v>
      </c>
      <c r="Q36" s="43">
        <v>113743098</v>
      </c>
      <c r="R36" s="43">
        <v>11767979</v>
      </c>
      <c r="S36" s="43">
        <v>0</v>
      </c>
      <c r="T36" s="43">
        <v>339736</v>
      </c>
      <c r="U36" s="51"/>
      <c r="V36" s="51"/>
    </row>
    <row r="37" spans="1:22" ht="13.5" customHeight="1">
      <c r="A37" s="40" t="s">
        <v>100</v>
      </c>
      <c r="B37" s="41">
        <v>1043</v>
      </c>
      <c r="C37" s="42" t="s">
        <v>415</v>
      </c>
      <c r="D37" s="43">
        <v>21790161306.869999</v>
      </c>
      <c r="E37" s="43">
        <v>7682979525.8299999</v>
      </c>
      <c r="F37" s="43">
        <v>7410387715.6200018</v>
      </c>
      <c r="G37" s="43">
        <v>4379294345.4499998</v>
      </c>
      <c r="H37" s="43">
        <v>41641514.940000013</v>
      </c>
      <c r="I37" s="43">
        <v>41165763.119999997</v>
      </c>
      <c r="J37" s="43">
        <v>2228608014.96</v>
      </c>
      <c r="K37" s="43">
        <v>6084426.9499999918</v>
      </c>
      <c r="L37" s="43">
        <v>5327049901.0500002</v>
      </c>
      <c r="M37" s="43">
        <v>105060.27000004053</v>
      </c>
      <c r="N37" s="43">
        <v>0</v>
      </c>
      <c r="O37" s="43">
        <v>48748897.109999999</v>
      </c>
      <c r="P37" s="43">
        <v>3126348503.8800001</v>
      </c>
      <c r="Q37" s="43">
        <v>249660664.31</v>
      </c>
      <c r="R37" s="43">
        <v>592559858.06999993</v>
      </c>
      <c r="S37" s="43">
        <v>6565709.5199999996</v>
      </c>
      <c r="T37" s="43">
        <v>1303061207.8900001</v>
      </c>
      <c r="U37" s="51"/>
      <c r="V37" s="51"/>
    </row>
    <row r="38" spans="1:22" ht="13.5" customHeight="1">
      <c r="A38" s="40" t="s">
        <v>103</v>
      </c>
      <c r="B38" s="41">
        <v>1044</v>
      </c>
      <c r="C38" s="42" t="s">
        <v>415</v>
      </c>
      <c r="D38" s="43">
        <v>23421131695.549999</v>
      </c>
      <c r="E38" s="43">
        <v>17010794655.789997</v>
      </c>
      <c r="F38" s="43">
        <v>3165974641.3400002</v>
      </c>
      <c r="G38" s="43">
        <v>1821655874.9999995</v>
      </c>
      <c r="H38" s="43">
        <v>0</v>
      </c>
      <c r="I38" s="43">
        <v>81299385.719999999</v>
      </c>
      <c r="J38" s="43">
        <v>1132772691.6799998</v>
      </c>
      <c r="K38" s="43">
        <v>208634446.02000001</v>
      </c>
      <c r="L38" s="43">
        <v>344784449.88</v>
      </c>
      <c r="M38" s="43">
        <v>0</v>
      </c>
      <c r="N38" s="43">
        <v>0</v>
      </c>
      <c r="O38" s="43">
        <v>0</v>
      </c>
      <c r="P38" s="43">
        <v>0</v>
      </c>
      <c r="Q38" s="43">
        <v>57991579.340000004</v>
      </c>
      <c r="R38" s="43">
        <v>108133533.84</v>
      </c>
      <c r="S38" s="43">
        <v>0</v>
      </c>
      <c r="T38" s="43">
        <v>178659336.69999999</v>
      </c>
      <c r="U38" s="51"/>
      <c r="V38" s="51"/>
    </row>
    <row r="39" spans="1:22" ht="13.5" customHeight="1">
      <c r="A39" s="40" t="s">
        <v>106</v>
      </c>
      <c r="B39" s="41">
        <v>1045</v>
      </c>
      <c r="C39" s="42" t="s">
        <v>415</v>
      </c>
      <c r="D39" s="43">
        <v>74927572184.320023</v>
      </c>
      <c r="E39" s="43">
        <v>43051057354.840004</v>
      </c>
      <c r="F39" s="43">
        <v>26463799601.360001</v>
      </c>
      <c r="G39" s="43">
        <v>2001349374.2400002</v>
      </c>
      <c r="H39" s="43">
        <v>126248.14</v>
      </c>
      <c r="I39" s="43">
        <v>134400381.75</v>
      </c>
      <c r="J39" s="43">
        <v>2107308864.78</v>
      </c>
      <c r="K39" s="43">
        <v>1169530359.21</v>
      </c>
      <c r="L39" s="43">
        <v>8079448797.0200005</v>
      </c>
      <c r="M39" s="43">
        <v>0</v>
      </c>
      <c r="N39" s="43">
        <v>0</v>
      </c>
      <c r="O39" s="43">
        <v>62336.85</v>
      </c>
      <c r="P39" s="43">
        <v>6888866282.3699999</v>
      </c>
      <c r="Q39" s="43">
        <v>651035057.3599999</v>
      </c>
      <c r="R39" s="43">
        <v>254295281.84000003</v>
      </c>
      <c r="S39" s="43">
        <v>5466228.5999999996</v>
      </c>
      <c r="T39" s="43">
        <v>279723610</v>
      </c>
      <c r="U39" s="51"/>
      <c r="V39" s="51"/>
    </row>
    <row r="40" spans="1:22" ht="13.5" customHeight="1">
      <c r="A40" s="40" t="s">
        <v>109</v>
      </c>
      <c r="B40" s="41">
        <v>1046</v>
      </c>
      <c r="C40" s="42" t="s">
        <v>415</v>
      </c>
      <c r="D40" s="43">
        <v>1462341221.8000002</v>
      </c>
      <c r="E40" s="43">
        <v>621704531.96000004</v>
      </c>
      <c r="F40" s="43">
        <v>325410569.89000005</v>
      </c>
      <c r="G40" s="43">
        <v>319088069.94</v>
      </c>
      <c r="H40" s="43">
        <v>0</v>
      </c>
      <c r="I40" s="43">
        <v>3110883.25</v>
      </c>
      <c r="J40" s="43">
        <v>192966702.25999999</v>
      </c>
      <c r="K40" s="43">
        <v>60464.5</v>
      </c>
      <c r="L40" s="43">
        <v>121555707.63999999</v>
      </c>
      <c r="M40" s="43">
        <v>0</v>
      </c>
      <c r="N40" s="43">
        <v>0</v>
      </c>
      <c r="O40" s="43">
        <v>913599.41</v>
      </c>
      <c r="P40" s="43">
        <v>0</v>
      </c>
      <c r="Q40" s="43">
        <v>119109015.22999999</v>
      </c>
      <c r="R40" s="43">
        <v>1533092.9999999998</v>
      </c>
      <c r="S40" s="43">
        <v>0</v>
      </c>
      <c r="T40" s="43">
        <v>0</v>
      </c>
      <c r="U40" s="51"/>
      <c r="V40" s="51"/>
    </row>
    <row r="41" spans="1:22" ht="13.5" customHeight="1">
      <c r="A41" s="40" t="s">
        <v>112</v>
      </c>
      <c r="B41" s="41">
        <v>1048</v>
      </c>
      <c r="C41" s="42" t="s">
        <v>415</v>
      </c>
      <c r="D41" s="43">
        <v>14510366016.02</v>
      </c>
      <c r="E41" s="43">
        <v>5184235389.8299999</v>
      </c>
      <c r="F41" s="43">
        <v>3592824614.1400003</v>
      </c>
      <c r="G41" s="43">
        <v>2812145283.6500001</v>
      </c>
      <c r="H41" s="43">
        <v>36533521.509999998</v>
      </c>
      <c r="I41" s="43">
        <v>409876156.63999999</v>
      </c>
      <c r="J41" s="43">
        <v>2442902000.9699998</v>
      </c>
      <c r="K41" s="43">
        <v>31849049.280000001</v>
      </c>
      <c r="L41" s="43">
        <v>609295884.64999998</v>
      </c>
      <c r="M41" s="43">
        <v>0</v>
      </c>
      <c r="N41" s="43">
        <v>0</v>
      </c>
      <c r="O41" s="43">
        <v>2645376.2799999998</v>
      </c>
      <c r="P41" s="43">
        <v>10064486.9</v>
      </c>
      <c r="Q41" s="43">
        <v>364538159.39999998</v>
      </c>
      <c r="R41" s="43">
        <v>3426925.2300000004</v>
      </c>
      <c r="S41" s="43">
        <v>0</v>
      </c>
      <c r="T41" s="43">
        <v>228620936.84</v>
      </c>
      <c r="U41" s="51"/>
      <c r="V41" s="51"/>
    </row>
    <row r="42" spans="1:22" ht="13.5" customHeight="1">
      <c r="A42" s="40" t="s">
        <v>115</v>
      </c>
      <c r="B42" s="41">
        <v>1049</v>
      </c>
      <c r="C42" s="42" t="s">
        <v>415</v>
      </c>
      <c r="D42" s="43">
        <v>7056915956.5300035</v>
      </c>
      <c r="E42" s="43">
        <v>5044357039.170002</v>
      </c>
      <c r="F42" s="43">
        <v>235500543.86000216</v>
      </c>
      <c r="G42" s="43">
        <v>1097335934.4699998</v>
      </c>
      <c r="H42" s="43">
        <v>0</v>
      </c>
      <c r="I42" s="43">
        <v>102461869.99000001</v>
      </c>
      <c r="J42" s="43">
        <v>441382932.3499999</v>
      </c>
      <c r="K42" s="43">
        <v>135877636.69</v>
      </c>
      <c r="L42" s="43">
        <v>1242487840.9400003</v>
      </c>
      <c r="M42" s="43">
        <v>0</v>
      </c>
      <c r="N42" s="43">
        <v>0</v>
      </c>
      <c r="O42" s="43">
        <v>0</v>
      </c>
      <c r="P42" s="43">
        <v>16651655.439999999</v>
      </c>
      <c r="Q42" s="43">
        <v>1117815907.5500002</v>
      </c>
      <c r="R42" s="43">
        <v>758248.12999999896</v>
      </c>
      <c r="S42" s="43">
        <v>0</v>
      </c>
      <c r="T42" s="43">
        <v>107262029.81999999</v>
      </c>
      <c r="U42" s="51"/>
      <c r="V42" s="51"/>
    </row>
    <row r="43" spans="1:22" ht="13.5" customHeight="1">
      <c r="A43" s="40" t="s">
        <v>118</v>
      </c>
      <c r="B43" s="41">
        <v>1051</v>
      </c>
      <c r="C43" s="42" t="s">
        <v>415</v>
      </c>
      <c r="D43" s="43">
        <v>861429107.73999989</v>
      </c>
      <c r="E43" s="43">
        <v>485505853.09999996</v>
      </c>
      <c r="F43" s="43">
        <v>94447587.709999993</v>
      </c>
      <c r="G43" s="43">
        <v>196884380.50999999</v>
      </c>
      <c r="H43" s="43">
        <v>0</v>
      </c>
      <c r="I43" s="43">
        <v>44649067.980000004</v>
      </c>
      <c r="J43" s="43">
        <v>20221135.539999999</v>
      </c>
      <c r="K43" s="43">
        <v>19721082.899999999</v>
      </c>
      <c r="L43" s="43">
        <v>47033045.879999988</v>
      </c>
      <c r="M43" s="43">
        <v>0</v>
      </c>
      <c r="N43" s="43">
        <v>0</v>
      </c>
      <c r="O43" s="43">
        <v>0</v>
      </c>
      <c r="P43" s="43">
        <v>10000000</v>
      </c>
      <c r="Q43" s="43">
        <v>25533401.369999994</v>
      </c>
      <c r="R43" s="43">
        <v>40278.570000000065</v>
      </c>
      <c r="S43" s="43">
        <v>0</v>
      </c>
      <c r="T43" s="43">
        <v>11459365.939999999</v>
      </c>
      <c r="U43" s="51"/>
      <c r="V43" s="51"/>
    </row>
    <row r="44" spans="1:22" ht="13.5" customHeight="1">
      <c r="A44" s="40" t="s">
        <v>121</v>
      </c>
      <c r="B44" s="41">
        <v>1052</v>
      </c>
      <c r="C44" s="42" t="s">
        <v>415</v>
      </c>
      <c r="D44" s="43">
        <v>1558936764.2500002</v>
      </c>
      <c r="E44" s="43">
        <v>1118073848.75</v>
      </c>
      <c r="F44" s="43">
        <v>284551418.68000001</v>
      </c>
      <c r="G44" s="43">
        <v>29380040.219999999</v>
      </c>
      <c r="H44" s="43">
        <v>138749.98000000001</v>
      </c>
      <c r="I44" s="43">
        <v>-33023.620000000003</v>
      </c>
      <c r="J44" s="43">
        <v>60685356.829999998</v>
      </c>
      <c r="K44" s="43">
        <v>66140373.409999996</v>
      </c>
      <c r="L44" s="43">
        <v>35161347.189999998</v>
      </c>
      <c r="M44" s="43">
        <v>0</v>
      </c>
      <c r="N44" s="43">
        <v>0</v>
      </c>
      <c r="O44" s="43">
        <v>0</v>
      </c>
      <c r="P44" s="43">
        <v>0</v>
      </c>
      <c r="Q44" s="43">
        <v>16919670.640000001</v>
      </c>
      <c r="R44" s="43">
        <v>243460.42000000016</v>
      </c>
      <c r="S44" s="43">
        <v>0</v>
      </c>
      <c r="T44" s="43">
        <v>17998216.129999999</v>
      </c>
      <c r="U44" s="51"/>
      <c r="V44" s="51"/>
    </row>
    <row r="45" spans="1:22" ht="13.5" customHeight="1">
      <c r="A45" s="40" t="s">
        <v>124</v>
      </c>
      <c r="B45" s="41">
        <v>1053</v>
      </c>
      <c r="C45" s="42" t="s">
        <v>415</v>
      </c>
      <c r="D45" s="43">
        <v>45264222624.309998</v>
      </c>
      <c r="E45" s="43">
        <v>509443065.81999999</v>
      </c>
      <c r="F45" s="43">
        <v>41469860993.880005</v>
      </c>
      <c r="G45" s="43">
        <v>614299988.55999947</v>
      </c>
      <c r="H45" s="43">
        <v>0</v>
      </c>
      <c r="I45" s="43">
        <v>-35385932.980000004</v>
      </c>
      <c r="J45" s="43">
        <v>2705399152.29</v>
      </c>
      <c r="K45" s="43">
        <v>605356.74</v>
      </c>
      <c r="L45" s="43">
        <v>158572494.25</v>
      </c>
      <c r="M45" s="43">
        <v>0</v>
      </c>
      <c r="N45" s="43">
        <v>0</v>
      </c>
      <c r="O45" s="43">
        <v>0</v>
      </c>
      <c r="P45" s="43">
        <v>0</v>
      </c>
      <c r="Q45" s="43">
        <v>152197588.56999999</v>
      </c>
      <c r="R45" s="43">
        <v>6374905.6799999997</v>
      </c>
      <c r="S45" s="43">
        <v>0</v>
      </c>
      <c r="T45" s="43">
        <v>0</v>
      </c>
      <c r="U45" s="51"/>
      <c r="V45" s="51"/>
    </row>
    <row r="46" spans="1:22" ht="13.5" customHeight="1">
      <c r="A46" s="40" t="s">
        <v>127</v>
      </c>
      <c r="B46" s="41">
        <v>1054</v>
      </c>
      <c r="C46" s="42" t="s">
        <v>415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51"/>
      <c r="V46" s="51"/>
    </row>
    <row r="47" spans="1:22" ht="13.5" customHeight="1">
      <c r="A47" s="40" t="s">
        <v>130</v>
      </c>
      <c r="B47" s="41">
        <v>1055</v>
      </c>
      <c r="C47" s="42" t="s">
        <v>415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51"/>
      <c r="V47" s="51"/>
    </row>
    <row r="48" spans="1:22" ht="13.5" customHeight="1">
      <c r="A48" s="40" t="s">
        <v>133</v>
      </c>
      <c r="B48" s="41">
        <v>1056</v>
      </c>
      <c r="C48" s="42" t="s">
        <v>415</v>
      </c>
      <c r="D48" s="43">
        <v>10528192141.710001</v>
      </c>
      <c r="E48" s="43">
        <v>3990408694.9200001</v>
      </c>
      <c r="F48" s="43">
        <v>5783755475.9899988</v>
      </c>
      <c r="G48" s="43">
        <v>184269257.95000002</v>
      </c>
      <c r="H48" s="43">
        <v>0</v>
      </c>
      <c r="I48" s="43">
        <v>151678622.41999999</v>
      </c>
      <c r="J48" s="43">
        <v>291936299.81</v>
      </c>
      <c r="K48" s="43">
        <v>126143790.62</v>
      </c>
      <c r="L48" s="43">
        <v>164863996.83000001</v>
      </c>
      <c r="M48" s="43">
        <v>0</v>
      </c>
      <c r="N48" s="43">
        <v>0</v>
      </c>
      <c r="O48" s="43">
        <v>50000</v>
      </c>
      <c r="P48" s="43">
        <v>0</v>
      </c>
      <c r="Q48" s="43">
        <v>14973166</v>
      </c>
      <c r="R48" s="43">
        <v>7296949.5599999987</v>
      </c>
      <c r="S48" s="43">
        <v>3907931.56</v>
      </c>
      <c r="T48" s="43">
        <v>138635949.71000001</v>
      </c>
      <c r="U48" s="51"/>
      <c r="V48" s="51"/>
    </row>
    <row r="49" spans="1:22" ht="13.5" customHeight="1">
      <c r="A49" s="40" t="s">
        <v>136</v>
      </c>
      <c r="B49" s="41">
        <v>1057</v>
      </c>
      <c r="C49" s="42" t="s">
        <v>415</v>
      </c>
      <c r="D49" s="43">
        <v>3440992594.0400004</v>
      </c>
      <c r="E49" s="43">
        <v>1441460950.73</v>
      </c>
      <c r="F49" s="43">
        <v>0</v>
      </c>
      <c r="G49" s="43">
        <v>1705630908.8700004</v>
      </c>
      <c r="H49" s="43">
        <v>0</v>
      </c>
      <c r="I49" s="43">
        <v>18019146.280000001</v>
      </c>
      <c r="J49" s="43">
        <v>275889180.32999998</v>
      </c>
      <c r="K49" s="43">
        <v>-7592.17</v>
      </c>
      <c r="L49" s="43">
        <v>89340716.450000003</v>
      </c>
      <c r="M49" s="43">
        <v>0</v>
      </c>
      <c r="N49" s="43">
        <v>0</v>
      </c>
      <c r="O49" s="43">
        <v>0</v>
      </c>
      <c r="P49" s="43">
        <v>0</v>
      </c>
      <c r="Q49" s="43">
        <v>4368945.0200000014</v>
      </c>
      <c r="R49" s="43">
        <v>21796296.32</v>
      </c>
      <c r="S49" s="43">
        <v>0</v>
      </c>
      <c r="T49" s="43">
        <v>63175475.109999999</v>
      </c>
      <c r="U49" s="51"/>
      <c r="V49" s="51"/>
    </row>
    <row r="50" spans="1:22" ht="13.5" customHeight="1">
      <c r="A50" s="40" t="s">
        <v>139</v>
      </c>
      <c r="B50" s="41">
        <v>1058</v>
      </c>
      <c r="C50" s="42" t="s">
        <v>415</v>
      </c>
      <c r="D50" s="43">
        <v>2094331970.22</v>
      </c>
      <c r="E50" s="43">
        <v>964016782.25</v>
      </c>
      <c r="F50" s="43">
        <v>68309898.689999998</v>
      </c>
      <c r="G50" s="43">
        <v>167721950.10999998</v>
      </c>
      <c r="H50" s="43">
        <v>0</v>
      </c>
      <c r="I50" s="43">
        <v>15150303.85</v>
      </c>
      <c r="J50" s="43">
        <v>852195684.10000002</v>
      </c>
      <c r="K50" s="43">
        <v>26937351.219999999</v>
      </c>
      <c r="L50" s="43">
        <v>159598090.84</v>
      </c>
      <c r="M50" s="43">
        <v>0</v>
      </c>
      <c r="N50" s="43">
        <v>0</v>
      </c>
      <c r="O50" s="43">
        <v>0</v>
      </c>
      <c r="P50" s="43">
        <v>0</v>
      </c>
      <c r="Q50" s="43">
        <v>28495313.909999996</v>
      </c>
      <c r="R50" s="43">
        <v>25026709.789999999</v>
      </c>
      <c r="S50" s="43">
        <v>102508914.84</v>
      </c>
      <c r="T50" s="43">
        <v>3567152.3</v>
      </c>
      <c r="U50" s="51"/>
      <c r="V50" s="51"/>
    </row>
    <row r="51" spans="1:22" ht="13.5" customHeight="1">
      <c r="A51" s="40" t="s">
        <v>142</v>
      </c>
      <c r="B51" s="41">
        <v>1059</v>
      </c>
      <c r="C51" s="42" t="s">
        <v>415</v>
      </c>
      <c r="D51" s="43">
        <v>1205271158.7153912</v>
      </c>
      <c r="E51" s="43">
        <v>565290640.56539106</v>
      </c>
      <c r="F51" s="43">
        <v>198699679.31999999</v>
      </c>
      <c r="G51" s="43">
        <v>147842810.40000001</v>
      </c>
      <c r="H51" s="43">
        <v>0</v>
      </c>
      <c r="I51" s="43">
        <v>402092.34</v>
      </c>
      <c r="J51" s="43">
        <v>268362885.18000001</v>
      </c>
      <c r="K51" s="43">
        <v>24673050.91</v>
      </c>
      <c r="L51" s="43">
        <v>355136771.02999997</v>
      </c>
      <c r="M51" s="43">
        <v>0</v>
      </c>
      <c r="N51" s="43">
        <v>0</v>
      </c>
      <c r="O51" s="43">
        <v>0</v>
      </c>
      <c r="P51" s="43">
        <v>365523.46</v>
      </c>
      <c r="Q51" s="43">
        <v>6833609.0299999993</v>
      </c>
      <c r="R51" s="43">
        <v>224621749.76999998</v>
      </c>
      <c r="S51" s="43">
        <v>110077806.20999999</v>
      </c>
      <c r="T51" s="43">
        <v>13238082.560000001</v>
      </c>
      <c r="U51" s="51"/>
      <c r="V51" s="51"/>
    </row>
    <row r="52" spans="1:22" ht="13.5" customHeight="1">
      <c r="A52" s="40" t="s">
        <v>145</v>
      </c>
      <c r="B52" s="41">
        <v>1060</v>
      </c>
      <c r="C52" s="42" t="s">
        <v>415</v>
      </c>
      <c r="D52" s="43">
        <v>992904151.33000004</v>
      </c>
      <c r="E52" s="43">
        <v>39997189</v>
      </c>
      <c r="F52" s="43">
        <v>0</v>
      </c>
      <c r="G52" s="43">
        <v>0</v>
      </c>
      <c r="H52" s="43">
        <v>13639209.060000001</v>
      </c>
      <c r="I52" s="43">
        <v>924420407.34000003</v>
      </c>
      <c r="J52" s="43">
        <v>9281921.629999999</v>
      </c>
      <c r="K52" s="43">
        <v>5565424.2999999998</v>
      </c>
      <c r="L52" s="43">
        <v>20661700</v>
      </c>
      <c r="M52" s="43">
        <v>0</v>
      </c>
      <c r="N52" s="43">
        <v>0</v>
      </c>
      <c r="O52" s="43">
        <v>0</v>
      </c>
      <c r="P52" s="43">
        <v>0</v>
      </c>
      <c r="Q52" s="43">
        <v>15000000</v>
      </c>
      <c r="R52" s="43">
        <v>0</v>
      </c>
      <c r="S52" s="43">
        <v>3717017</v>
      </c>
      <c r="T52" s="43">
        <v>1944683</v>
      </c>
      <c r="U52" s="51"/>
      <c r="V52" s="51"/>
    </row>
    <row r="53" spans="1:22" ht="13.5" customHeight="1">
      <c r="A53" s="40" t="s">
        <v>148</v>
      </c>
      <c r="B53" s="41">
        <v>1061</v>
      </c>
      <c r="C53" s="42" t="s">
        <v>415</v>
      </c>
      <c r="D53" s="43">
        <v>6985281654.2600021</v>
      </c>
      <c r="E53" s="43">
        <v>4000834084.0300002</v>
      </c>
      <c r="F53" s="43">
        <v>133165564.38</v>
      </c>
      <c r="G53" s="43">
        <v>1880996145.7800021</v>
      </c>
      <c r="H53" s="43">
        <v>0</v>
      </c>
      <c r="I53" s="43">
        <v>422839.32</v>
      </c>
      <c r="J53" s="43">
        <v>838269921.7299999</v>
      </c>
      <c r="K53" s="43">
        <v>131593099.02</v>
      </c>
      <c r="L53" s="43">
        <v>695324592.43999994</v>
      </c>
      <c r="M53" s="43">
        <v>0</v>
      </c>
      <c r="N53" s="43">
        <v>0</v>
      </c>
      <c r="O53" s="43">
        <v>0</v>
      </c>
      <c r="P53" s="43">
        <v>0</v>
      </c>
      <c r="Q53" s="43">
        <v>76047816.840000004</v>
      </c>
      <c r="R53" s="43">
        <v>619276775.5999999</v>
      </c>
      <c r="S53" s="43">
        <v>0</v>
      </c>
      <c r="T53" s="43">
        <v>0</v>
      </c>
      <c r="U53" s="51"/>
      <c r="V53" s="51"/>
    </row>
    <row r="54" spans="1:22" ht="13.5" customHeight="1">
      <c r="A54" s="40" t="s">
        <v>1</v>
      </c>
      <c r="B54" s="41">
        <v>2001</v>
      </c>
      <c r="C54" s="42" t="s">
        <v>415</v>
      </c>
      <c r="D54" s="43">
        <v>43989426380.070015</v>
      </c>
      <c r="E54" s="43">
        <v>10013938744.399963</v>
      </c>
      <c r="F54" s="43">
        <v>19682615221.350044</v>
      </c>
      <c r="G54" s="43">
        <v>10310081354.060003</v>
      </c>
      <c r="H54" s="43">
        <v>1333294.2200000286</v>
      </c>
      <c r="I54" s="43">
        <v>3377339.4300003052</v>
      </c>
      <c r="J54" s="43">
        <v>3279425181.8099995</v>
      </c>
      <c r="K54" s="43">
        <v>698655244.79999971</v>
      </c>
      <c r="L54" s="43">
        <v>2429373379.840004</v>
      </c>
      <c r="M54" s="43">
        <v>0</v>
      </c>
      <c r="N54" s="43">
        <v>0</v>
      </c>
      <c r="O54" s="43">
        <v>69451.06</v>
      </c>
      <c r="P54" s="43">
        <v>299486000</v>
      </c>
      <c r="Q54" s="43">
        <v>245749017.34000003</v>
      </c>
      <c r="R54" s="43">
        <v>244020581.10000008</v>
      </c>
      <c r="S54" s="43">
        <v>567039000</v>
      </c>
      <c r="T54" s="43">
        <v>1073009330.340004</v>
      </c>
      <c r="U54" s="51"/>
      <c r="V54" s="51"/>
    </row>
    <row r="55" spans="1:22" ht="13.5" customHeight="1">
      <c r="A55" s="40" t="s">
        <v>153</v>
      </c>
      <c r="B55" s="41">
        <v>2002</v>
      </c>
      <c r="C55" s="42" t="s">
        <v>416</v>
      </c>
      <c r="D55" s="43">
        <v>3837391984.8700037</v>
      </c>
      <c r="E55" s="43">
        <v>1962920512.7000041</v>
      </c>
      <c r="F55" s="43">
        <v>1079762230.3299999</v>
      </c>
      <c r="G55" s="43">
        <v>212644633.72000009</v>
      </c>
      <c r="H55" s="43">
        <v>0</v>
      </c>
      <c r="I55" s="43">
        <v>0</v>
      </c>
      <c r="J55" s="43">
        <v>582049608.12999964</v>
      </c>
      <c r="K55" s="43">
        <v>14999.990000000224</v>
      </c>
      <c r="L55" s="43">
        <v>157017539.54000002</v>
      </c>
      <c r="M55" s="43">
        <v>0</v>
      </c>
      <c r="N55" s="43">
        <v>0</v>
      </c>
      <c r="O55" s="43">
        <v>202</v>
      </c>
      <c r="P55" s="43">
        <v>0</v>
      </c>
      <c r="Q55" s="43">
        <v>26704436.779999994</v>
      </c>
      <c r="R55" s="43">
        <v>80064649.650000006</v>
      </c>
      <c r="S55" s="43">
        <v>95479.62000000001</v>
      </c>
      <c r="T55" s="43">
        <v>50152771.49000001</v>
      </c>
      <c r="U55" s="51"/>
      <c r="V55" s="51"/>
    </row>
    <row r="56" spans="1:22" ht="13.5" customHeight="1">
      <c r="A56" s="40" t="s">
        <v>4</v>
      </c>
      <c r="B56" s="41">
        <v>2005</v>
      </c>
      <c r="C56" s="42" t="s">
        <v>416</v>
      </c>
      <c r="D56" s="43">
        <v>1994561148.75</v>
      </c>
      <c r="E56" s="43">
        <v>666951068.97000003</v>
      </c>
      <c r="F56" s="43">
        <v>294126940.49000001</v>
      </c>
      <c r="G56" s="43">
        <v>804340103.45999992</v>
      </c>
      <c r="H56" s="43">
        <v>0</v>
      </c>
      <c r="I56" s="43">
        <v>6831428.4900000002</v>
      </c>
      <c r="J56" s="43">
        <v>221858753.77000001</v>
      </c>
      <c r="K56" s="43">
        <v>452853.57</v>
      </c>
      <c r="L56" s="43">
        <v>64827222.450000003</v>
      </c>
      <c r="M56" s="43">
        <v>0</v>
      </c>
      <c r="N56" s="43">
        <v>0</v>
      </c>
      <c r="O56" s="43">
        <v>0</v>
      </c>
      <c r="P56" s="43">
        <v>0</v>
      </c>
      <c r="Q56" s="43">
        <v>16095744.650000002</v>
      </c>
      <c r="R56" s="43">
        <v>16728254.249999998</v>
      </c>
      <c r="S56" s="43">
        <v>0</v>
      </c>
      <c r="T56" s="43">
        <v>32003223.550000001</v>
      </c>
      <c r="U56" s="51"/>
      <c r="V56" s="51"/>
    </row>
    <row r="57" spans="1:22" ht="13.5" customHeight="1">
      <c r="A57" s="40" t="s">
        <v>11</v>
      </c>
      <c r="B57" s="41">
        <v>2006</v>
      </c>
      <c r="C57" s="42" t="s">
        <v>417</v>
      </c>
      <c r="D57" s="43">
        <v>2468855232.1099997</v>
      </c>
      <c r="E57" s="43">
        <v>694150103.49000001</v>
      </c>
      <c r="F57" s="43">
        <v>1114490035.79</v>
      </c>
      <c r="G57" s="43">
        <v>374597969.16999996</v>
      </c>
      <c r="H57" s="43">
        <v>0</v>
      </c>
      <c r="I57" s="43">
        <v>139596240.27000001</v>
      </c>
      <c r="J57" s="43">
        <v>108626415.64999999</v>
      </c>
      <c r="K57" s="43">
        <v>37394467.740000002</v>
      </c>
      <c r="L57" s="43">
        <v>49615659891.620018</v>
      </c>
      <c r="M57" s="43">
        <v>47531848562.910011</v>
      </c>
      <c r="N57" s="43">
        <v>0</v>
      </c>
      <c r="O57" s="43">
        <v>583200442.04999995</v>
      </c>
      <c r="P57" s="43">
        <v>12044085.1</v>
      </c>
      <c r="Q57" s="43">
        <v>20235420.75</v>
      </c>
      <c r="R57" s="43">
        <v>1270867840.8</v>
      </c>
      <c r="S57" s="43">
        <v>0</v>
      </c>
      <c r="T57" s="43">
        <v>197463540.00999999</v>
      </c>
      <c r="U57" s="51"/>
      <c r="V57" s="51"/>
    </row>
    <row r="58" spans="1:22" ht="13.5" customHeight="1">
      <c r="A58" s="40" t="s">
        <v>160</v>
      </c>
      <c r="B58" s="41">
        <v>2007</v>
      </c>
      <c r="C58" s="42" t="s">
        <v>416</v>
      </c>
      <c r="D58" s="43">
        <v>1785721453.440001</v>
      </c>
      <c r="E58" s="43">
        <v>1131792866.0300012</v>
      </c>
      <c r="F58" s="43">
        <v>482351607.57999998</v>
      </c>
      <c r="G58" s="43">
        <v>87778727.099999994</v>
      </c>
      <c r="H58" s="43">
        <v>-97253.05</v>
      </c>
      <c r="I58" s="43">
        <v>0</v>
      </c>
      <c r="J58" s="43">
        <v>74724432.920000002</v>
      </c>
      <c r="K58" s="43">
        <v>9171072.8600000013</v>
      </c>
      <c r="L58" s="43">
        <v>26731702.229999997</v>
      </c>
      <c r="M58" s="43">
        <v>0</v>
      </c>
      <c r="N58" s="43">
        <v>0</v>
      </c>
      <c r="O58" s="43">
        <v>0</v>
      </c>
      <c r="P58" s="43">
        <v>0</v>
      </c>
      <c r="Q58" s="43">
        <v>17832142.959999997</v>
      </c>
      <c r="R58" s="43">
        <v>2785861.74</v>
      </c>
      <c r="S58" s="43">
        <v>0</v>
      </c>
      <c r="T58" s="43">
        <v>6113697.5300000003</v>
      </c>
      <c r="U58" s="51"/>
      <c r="V58" s="51"/>
    </row>
    <row r="59" spans="1:22" ht="13.5" customHeight="1">
      <c r="A59" s="40" t="s">
        <v>163</v>
      </c>
      <c r="B59" s="41">
        <v>2008</v>
      </c>
      <c r="C59" s="42" t="s">
        <v>416</v>
      </c>
      <c r="D59" s="43">
        <v>630988212.29999983</v>
      </c>
      <c r="E59" s="43">
        <v>594066075.17999995</v>
      </c>
      <c r="F59" s="43">
        <v>0</v>
      </c>
      <c r="G59" s="43">
        <v>168430.15</v>
      </c>
      <c r="H59" s="43">
        <v>0</v>
      </c>
      <c r="I59" s="43">
        <v>0</v>
      </c>
      <c r="J59" s="43">
        <v>9903183.1799999997</v>
      </c>
      <c r="K59" s="43">
        <v>26850523.789999999</v>
      </c>
      <c r="L59" s="43">
        <v>35133816.780000001</v>
      </c>
      <c r="M59" s="43">
        <v>0</v>
      </c>
      <c r="N59" s="43">
        <v>0</v>
      </c>
      <c r="O59" s="43">
        <v>0</v>
      </c>
      <c r="P59" s="43">
        <v>0</v>
      </c>
      <c r="Q59" s="43">
        <v>9182653.6400000006</v>
      </c>
      <c r="R59" s="43">
        <v>22152430.810000002</v>
      </c>
      <c r="S59" s="43">
        <v>5112.33</v>
      </c>
      <c r="T59" s="43">
        <v>3793620</v>
      </c>
      <c r="U59" s="51"/>
      <c r="V59" s="51"/>
    </row>
    <row r="60" spans="1:22" ht="13.5" customHeight="1">
      <c r="A60" s="40" t="s">
        <v>2</v>
      </c>
      <c r="B60" s="41">
        <v>3001</v>
      </c>
      <c r="C60" s="42" t="s">
        <v>417</v>
      </c>
      <c r="D60" s="43">
        <v>58320307321.070007</v>
      </c>
      <c r="E60" s="43">
        <v>5974685533.1800032</v>
      </c>
      <c r="F60" s="43">
        <v>39039267765.639999</v>
      </c>
      <c r="G60" s="43">
        <v>12565619794.84</v>
      </c>
      <c r="H60" s="43">
        <v>14151484.220000001</v>
      </c>
      <c r="I60" s="43">
        <v>8639251.1699999999</v>
      </c>
      <c r="J60" s="43">
        <v>331393302.48000002</v>
      </c>
      <c r="K60" s="43">
        <v>386550189.53999996</v>
      </c>
      <c r="L60" s="43">
        <v>2354716757.3900003</v>
      </c>
      <c r="M60" s="43">
        <v>522173756.13000005</v>
      </c>
      <c r="N60" s="43">
        <v>0</v>
      </c>
      <c r="O60" s="43">
        <v>0</v>
      </c>
      <c r="P60" s="43">
        <v>4709632.7</v>
      </c>
      <c r="Q60" s="43">
        <v>970058543.36000001</v>
      </c>
      <c r="R60" s="43">
        <v>231326910.89000002</v>
      </c>
      <c r="S60" s="43">
        <v>0</v>
      </c>
      <c r="T60" s="43">
        <v>626447914.30999994</v>
      </c>
      <c r="U60" s="51"/>
      <c r="V60" s="51"/>
    </row>
    <row r="61" spans="1:22" ht="13.5" customHeight="1">
      <c r="A61" s="40" t="s">
        <v>168</v>
      </c>
      <c r="B61" s="41">
        <v>3002</v>
      </c>
      <c r="C61" s="42" t="s">
        <v>417</v>
      </c>
      <c r="D61" s="43">
        <v>7311716555.3900013</v>
      </c>
      <c r="E61" s="43">
        <v>1701282338.26</v>
      </c>
      <c r="F61" s="43">
        <v>4879741246.2700005</v>
      </c>
      <c r="G61" s="43">
        <v>300335177.17000002</v>
      </c>
      <c r="H61" s="43">
        <v>542349.64</v>
      </c>
      <c r="I61" s="43">
        <v>78345.969999999972</v>
      </c>
      <c r="J61" s="43">
        <v>396365389.65000004</v>
      </c>
      <c r="K61" s="43">
        <v>33371708.43</v>
      </c>
      <c r="L61" s="43">
        <v>64759024231.150009</v>
      </c>
      <c r="M61" s="43">
        <v>64408918966.330009</v>
      </c>
      <c r="N61" s="43">
        <v>0</v>
      </c>
      <c r="O61" s="43">
        <v>0</v>
      </c>
      <c r="P61" s="43">
        <v>11104659.210000001</v>
      </c>
      <c r="Q61" s="43">
        <v>51134324.410000004</v>
      </c>
      <c r="R61" s="43">
        <v>110206501.89000002</v>
      </c>
      <c r="S61" s="43">
        <v>26929242.170000002</v>
      </c>
      <c r="T61" s="43">
        <v>150730537.13999999</v>
      </c>
      <c r="U61" s="51"/>
      <c r="V61" s="51"/>
    </row>
    <row r="62" spans="1:22" ht="13.5" customHeight="1">
      <c r="A62" s="40" t="s">
        <v>171</v>
      </c>
      <c r="B62" s="41">
        <v>3003</v>
      </c>
      <c r="C62" s="42" t="s">
        <v>417</v>
      </c>
      <c r="D62" s="43">
        <v>43295826075.619987</v>
      </c>
      <c r="E62" s="43">
        <v>12349838148.679993</v>
      </c>
      <c r="F62" s="43">
        <v>26313520670.709999</v>
      </c>
      <c r="G62" s="43">
        <v>895986942.51999998</v>
      </c>
      <c r="H62" s="43">
        <v>13143286.9</v>
      </c>
      <c r="I62" s="43">
        <v>1068217209.79</v>
      </c>
      <c r="J62" s="43">
        <v>2353894637.6300001</v>
      </c>
      <c r="K62" s="43">
        <v>301225179.39000005</v>
      </c>
      <c r="L62" s="43">
        <v>336500365900.22974</v>
      </c>
      <c r="M62" s="43">
        <v>333922503823.94971</v>
      </c>
      <c r="N62" s="43">
        <v>0</v>
      </c>
      <c r="O62" s="43">
        <v>10472.19</v>
      </c>
      <c r="P62" s="43">
        <v>11494599.52</v>
      </c>
      <c r="Q62" s="43">
        <v>504570520.11999995</v>
      </c>
      <c r="R62" s="43">
        <v>332678235.33999997</v>
      </c>
      <c r="S62" s="43">
        <v>999137222.41000009</v>
      </c>
      <c r="T62" s="43">
        <v>729971026.70000005</v>
      </c>
      <c r="U62" s="51"/>
      <c r="V62" s="51"/>
    </row>
    <row r="63" spans="1:22" ht="13.5" customHeight="1">
      <c r="A63" s="40" t="s">
        <v>174</v>
      </c>
      <c r="B63" s="41">
        <v>3004</v>
      </c>
      <c r="C63" s="42" t="s">
        <v>417</v>
      </c>
      <c r="D63" s="43">
        <v>74216591926.990005</v>
      </c>
      <c r="E63" s="43">
        <v>6732468490.6800003</v>
      </c>
      <c r="F63" s="43">
        <v>58039948903</v>
      </c>
      <c r="G63" s="43">
        <v>5021656670.9300003</v>
      </c>
      <c r="H63" s="43">
        <v>53204</v>
      </c>
      <c r="I63" s="43">
        <v>1254352574.3800001</v>
      </c>
      <c r="J63" s="43">
        <v>3168096140</v>
      </c>
      <c r="K63" s="43">
        <v>15944</v>
      </c>
      <c r="L63" s="43">
        <v>407707213073</v>
      </c>
      <c r="M63" s="43">
        <v>406163386603</v>
      </c>
      <c r="N63" s="43">
        <v>0</v>
      </c>
      <c r="O63" s="43">
        <v>0</v>
      </c>
      <c r="P63" s="43">
        <v>19447648</v>
      </c>
      <c r="Q63" s="43">
        <v>861624530</v>
      </c>
      <c r="R63" s="43">
        <v>204545711</v>
      </c>
      <c r="S63" s="43">
        <v>20843971</v>
      </c>
      <c r="T63" s="43">
        <v>437364610</v>
      </c>
      <c r="U63" s="51"/>
      <c r="V63" s="51"/>
    </row>
    <row r="64" spans="1:22" ht="13.5" customHeight="1">
      <c r="A64" s="40" t="s">
        <v>16</v>
      </c>
      <c r="B64" s="41">
        <v>3005</v>
      </c>
      <c r="C64" s="42" t="s">
        <v>417</v>
      </c>
      <c r="D64" s="43">
        <v>2281428062.0444989</v>
      </c>
      <c r="E64" s="43">
        <v>1099633017.140008</v>
      </c>
      <c r="F64" s="43">
        <v>34776657.530000001</v>
      </c>
      <c r="G64" s="43">
        <v>655455195.30000007</v>
      </c>
      <c r="H64" s="43">
        <v>811.8</v>
      </c>
      <c r="I64" s="43">
        <v>10661943.25</v>
      </c>
      <c r="J64" s="43">
        <v>469885349.0344913</v>
      </c>
      <c r="K64" s="43">
        <v>11015087.99</v>
      </c>
      <c r="L64" s="43">
        <v>14526886425.560001</v>
      </c>
      <c r="M64" s="43">
        <v>14342022976.58</v>
      </c>
      <c r="N64" s="43">
        <v>0</v>
      </c>
      <c r="O64" s="43">
        <v>5760.11</v>
      </c>
      <c r="P64" s="43">
        <v>4571849.82</v>
      </c>
      <c r="Q64" s="43">
        <v>116958623.73999998</v>
      </c>
      <c r="R64" s="43">
        <v>44267672.609999985</v>
      </c>
      <c r="S64" s="43">
        <v>0</v>
      </c>
      <c r="T64" s="43">
        <v>19059542.699999999</v>
      </c>
      <c r="U64" s="51"/>
      <c r="V64" s="51"/>
    </row>
    <row r="65" spans="1:22" ht="13.5" customHeight="1">
      <c r="A65" s="40" t="s">
        <v>179</v>
      </c>
      <c r="B65" s="41">
        <v>3006</v>
      </c>
      <c r="C65" s="42" t="s">
        <v>417</v>
      </c>
      <c r="D65" s="43">
        <v>67156125769.639999</v>
      </c>
      <c r="E65" s="43">
        <v>10978631311.960001</v>
      </c>
      <c r="F65" s="43">
        <v>52280092707.139999</v>
      </c>
      <c r="G65" s="43">
        <v>904441300.04999995</v>
      </c>
      <c r="H65" s="43">
        <v>104609981.85000001</v>
      </c>
      <c r="I65" s="43">
        <v>43071262.239999995</v>
      </c>
      <c r="J65" s="43">
        <v>2787741188.6200004</v>
      </c>
      <c r="K65" s="43">
        <v>57538017.780000001</v>
      </c>
      <c r="L65" s="43">
        <v>453733218535.89008</v>
      </c>
      <c r="M65" s="43">
        <v>448327478414.86005</v>
      </c>
      <c r="N65" s="43">
        <v>0</v>
      </c>
      <c r="O65" s="43">
        <v>862157.62</v>
      </c>
      <c r="P65" s="43">
        <v>2142419473.03</v>
      </c>
      <c r="Q65" s="43">
        <v>820357722.46000016</v>
      </c>
      <c r="R65" s="43">
        <v>1947451617.0199997</v>
      </c>
      <c r="S65" s="43">
        <v>3154643.67</v>
      </c>
      <c r="T65" s="43">
        <v>491494507.23000002</v>
      </c>
      <c r="U65" s="51"/>
      <c r="V65" s="51"/>
    </row>
    <row r="66" spans="1:22" ht="13.5" customHeight="1">
      <c r="A66" s="40" t="s">
        <v>182</v>
      </c>
      <c r="B66" s="41">
        <v>3007</v>
      </c>
      <c r="C66" s="42" t="s">
        <v>417</v>
      </c>
      <c r="D66" s="43">
        <v>1576656299.0800002</v>
      </c>
      <c r="E66" s="43">
        <v>366790798.51999998</v>
      </c>
      <c r="F66" s="43">
        <v>975764882.12</v>
      </c>
      <c r="G66" s="43">
        <v>163809348.09</v>
      </c>
      <c r="H66" s="43">
        <v>5223114.6399999997</v>
      </c>
      <c r="I66" s="43">
        <v>8552861.8900000006</v>
      </c>
      <c r="J66" s="43">
        <v>51836468.170000002</v>
      </c>
      <c r="K66" s="43">
        <v>4678825.6499999994</v>
      </c>
      <c r="L66" s="43">
        <v>12150887248.74</v>
      </c>
      <c r="M66" s="43">
        <v>11569430679.009998</v>
      </c>
      <c r="N66" s="43">
        <v>0</v>
      </c>
      <c r="O66" s="43">
        <v>0</v>
      </c>
      <c r="P66" s="43">
        <v>561138738.37</v>
      </c>
      <c r="Q66" s="43">
        <v>1147633</v>
      </c>
      <c r="R66" s="43">
        <v>270914.19000000134</v>
      </c>
      <c r="S66" s="43">
        <v>0</v>
      </c>
      <c r="T66" s="43">
        <v>18899284.170000002</v>
      </c>
      <c r="U66" s="51"/>
      <c r="V66" s="51"/>
    </row>
    <row r="67" spans="1:22" ht="13.5" customHeight="1">
      <c r="A67" s="40" t="s">
        <v>184</v>
      </c>
      <c r="B67" s="41">
        <v>3008</v>
      </c>
      <c r="C67" s="42" t="s">
        <v>417</v>
      </c>
      <c r="D67" s="43">
        <v>4733386736.1899891</v>
      </c>
      <c r="E67" s="43">
        <v>2512134351.3299885</v>
      </c>
      <c r="F67" s="43">
        <v>1496191357.3699996</v>
      </c>
      <c r="G67" s="43">
        <v>171308118.86000064</v>
      </c>
      <c r="H67" s="43">
        <v>16953345.550000012</v>
      </c>
      <c r="I67" s="43">
        <v>78568116.420000002</v>
      </c>
      <c r="J67" s="43">
        <v>455690233.21000046</v>
      </c>
      <c r="K67" s="43">
        <v>2541213.4499999993</v>
      </c>
      <c r="L67" s="43">
        <v>40807780696.779999</v>
      </c>
      <c r="M67" s="43">
        <v>40322652038.190002</v>
      </c>
      <c r="N67" s="43">
        <v>0</v>
      </c>
      <c r="O67" s="43">
        <v>557152.5</v>
      </c>
      <c r="P67" s="43">
        <v>4709760.2699999996</v>
      </c>
      <c r="Q67" s="43">
        <v>76647077.539999992</v>
      </c>
      <c r="R67" s="43">
        <v>369653803.04999995</v>
      </c>
      <c r="S67" s="43">
        <v>157354.63</v>
      </c>
      <c r="T67" s="43">
        <v>33403510.600000024</v>
      </c>
      <c r="U67" s="51"/>
      <c r="V67" s="51"/>
    </row>
    <row r="68" spans="1:22" ht="13.5" customHeight="1">
      <c r="A68" s="40" t="s">
        <v>186</v>
      </c>
      <c r="B68" s="41">
        <v>3009</v>
      </c>
      <c r="C68" s="42" t="s">
        <v>417</v>
      </c>
      <c r="D68" s="43">
        <v>19713980236.35508</v>
      </c>
      <c r="E68" s="43">
        <v>6827692269.1899996</v>
      </c>
      <c r="F68" s="43">
        <v>10244768667.27</v>
      </c>
      <c r="G68" s="43">
        <v>1225329411.2350791</v>
      </c>
      <c r="H68" s="43">
        <v>3673243</v>
      </c>
      <c r="I68" s="43">
        <v>0</v>
      </c>
      <c r="J68" s="43">
        <v>1412093145.6600001</v>
      </c>
      <c r="K68" s="43">
        <v>423500</v>
      </c>
      <c r="L68" s="43">
        <v>7952009958.1399994</v>
      </c>
      <c r="M68" s="43">
        <v>7248896398.7599993</v>
      </c>
      <c r="N68" s="43">
        <v>0</v>
      </c>
      <c r="O68" s="43">
        <v>15540889</v>
      </c>
      <c r="P68" s="43">
        <v>4808429</v>
      </c>
      <c r="Q68" s="43">
        <v>184238174.31999996</v>
      </c>
      <c r="R68" s="43">
        <v>150407750</v>
      </c>
      <c r="S68" s="43">
        <v>348118317.06</v>
      </c>
      <c r="T68" s="43">
        <v>0</v>
      </c>
      <c r="U68" s="51"/>
      <c r="V68" s="51"/>
    </row>
    <row r="69" spans="1:22" ht="13.5" customHeight="1">
      <c r="A69" s="40" t="s">
        <v>188</v>
      </c>
      <c r="B69" s="41">
        <v>3011</v>
      </c>
      <c r="C69" s="42" t="s">
        <v>417</v>
      </c>
      <c r="D69" s="43">
        <v>4873634931.4299974</v>
      </c>
      <c r="E69" s="43">
        <v>1649264051.3099978</v>
      </c>
      <c r="F69" s="43">
        <v>921860390.97999978</v>
      </c>
      <c r="G69" s="43">
        <v>896170790.09000003</v>
      </c>
      <c r="H69" s="43">
        <v>5821288.5700000003</v>
      </c>
      <c r="I69" s="43">
        <v>75397.89000000013</v>
      </c>
      <c r="J69" s="43">
        <v>1400364596.27</v>
      </c>
      <c r="K69" s="43">
        <v>78416.320000000065</v>
      </c>
      <c r="L69" s="43">
        <v>38986609911.349998</v>
      </c>
      <c r="M69" s="43">
        <v>38804439048.089996</v>
      </c>
      <c r="N69" s="43">
        <v>0</v>
      </c>
      <c r="O69" s="43">
        <v>1161538.8300000003</v>
      </c>
      <c r="P69" s="43">
        <v>4859721.03</v>
      </c>
      <c r="Q69" s="43">
        <v>27359317.75</v>
      </c>
      <c r="R69" s="43">
        <v>119854113.69</v>
      </c>
      <c r="S69" s="43">
        <v>4158544.3599999994</v>
      </c>
      <c r="T69" s="43">
        <v>24777627.600000001</v>
      </c>
      <c r="U69" s="51"/>
      <c r="V69" s="51"/>
    </row>
    <row r="70" spans="1:22" ht="13.5" customHeight="1">
      <c r="A70" s="40" t="s">
        <v>191</v>
      </c>
      <c r="B70" s="41">
        <v>3012</v>
      </c>
      <c r="C70" s="42" t="s">
        <v>417</v>
      </c>
      <c r="D70" s="43">
        <v>412062150151.94</v>
      </c>
      <c r="E70" s="43">
        <v>15978816613.100002</v>
      </c>
      <c r="F70" s="43">
        <v>13868565408.08</v>
      </c>
      <c r="G70" s="43">
        <v>379178169056.52002</v>
      </c>
      <c r="H70" s="43">
        <v>0</v>
      </c>
      <c r="I70" s="43">
        <v>744489</v>
      </c>
      <c r="J70" s="43">
        <v>3035756813.4699998</v>
      </c>
      <c r="K70" s="43">
        <v>97771.76999999999</v>
      </c>
      <c r="L70" s="43">
        <v>579582176.75000012</v>
      </c>
      <c r="M70" s="43">
        <v>0</v>
      </c>
      <c r="N70" s="43">
        <v>0</v>
      </c>
      <c r="O70" s="43">
        <v>0</v>
      </c>
      <c r="P70" s="43">
        <v>0</v>
      </c>
      <c r="Q70" s="43">
        <v>18305816.989999995</v>
      </c>
      <c r="R70" s="43">
        <v>480541053.53000009</v>
      </c>
      <c r="S70" s="43">
        <v>0</v>
      </c>
      <c r="T70" s="43">
        <v>80735306.230000004</v>
      </c>
      <c r="U70" s="51"/>
      <c r="V70" s="51"/>
    </row>
    <row r="71" spans="1:22" ht="13.5" customHeight="1">
      <c r="A71" s="40" t="s">
        <v>194</v>
      </c>
      <c r="B71" s="41">
        <v>3016</v>
      </c>
      <c r="C71" s="42" t="s">
        <v>417</v>
      </c>
      <c r="D71" s="43">
        <v>7082616409.7078609</v>
      </c>
      <c r="E71" s="43">
        <v>1897486253.5478609</v>
      </c>
      <c r="F71" s="43">
        <v>3924990307.9899998</v>
      </c>
      <c r="G71" s="43">
        <v>770546316.20999992</v>
      </c>
      <c r="H71" s="43">
        <v>1386877.87</v>
      </c>
      <c r="I71" s="43">
        <v>9598444.0800000001</v>
      </c>
      <c r="J71" s="43">
        <v>463095063.60000002</v>
      </c>
      <c r="K71" s="43">
        <v>15513146.41</v>
      </c>
      <c r="L71" s="43">
        <v>73546162630.520004</v>
      </c>
      <c r="M71" s="43">
        <v>72855370952.320007</v>
      </c>
      <c r="N71" s="43">
        <v>0</v>
      </c>
      <c r="O71" s="43">
        <v>136150</v>
      </c>
      <c r="P71" s="43">
        <v>4891118.9800000004</v>
      </c>
      <c r="Q71" s="43">
        <v>152964198.67000002</v>
      </c>
      <c r="R71" s="43">
        <v>458573196.63</v>
      </c>
      <c r="S71" s="43">
        <v>4998437.76</v>
      </c>
      <c r="T71" s="43">
        <v>69228576.159999996</v>
      </c>
      <c r="U71" s="51"/>
      <c r="V71" s="51"/>
    </row>
    <row r="72" spans="1:22" ht="13.5" customHeight="1">
      <c r="A72" s="40" t="s">
        <v>197</v>
      </c>
      <c r="B72" s="41">
        <v>3017</v>
      </c>
      <c r="C72" s="42" t="s">
        <v>417</v>
      </c>
      <c r="D72" s="43">
        <v>46345061526.780022</v>
      </c>
      <c r="E72" s="43">
        <v>5373471314.1599998</v>
      </c>
      <c r="F72" s="43">
        <v>6073059243.6100006</v>
      </c>
      <c r="G72" s="43">
        <v>31690235608.600018</v>
      </c>
      <c r="H72" s="43">
        <v>11508034.359999999</v>
      </c>
      <c r="I72" s="43">
        <v>1262925.1599999999</v>
      </c>
      <c r="J72" s="43">
        <v>3109126239.1700001</v>
      </c>
      <c r="K72" s="43">
        <v>86398161.719999999</v>
      </c>
      <c r="L72" s="43">
        <v>807143384.30999994</v>
      </c>
      <c r="M72" s="43">
        <v>0</v>
      </c>
      <c r="N72" s="43">
        <v>0</v>
      </c>
      <c r="O72" s="43">
        <v>0</v>
      </c>
      <c r="P72" s="43">
        <v>4843757.59</v>
      </c>
      <c r="Q72" s="43">
        <v>159855200.01999998</v>
      </c>
      <c r="R72" s="43">
        <v>563946337.81999993</v>
      </c>
      <c r="S72" s="43">
        <v>0</v>
      </c>
      <c r="T72" s="43">
        <v>78498088.879999995</v>
      </c>
      <c r="U72" s="51"/>
      <c r="V72" s="51"/>
    </row>
    <row r="73" spans="1:22" ht="13.5" customHeight="1">
      <c r="A73" s="40" t="s">
        <v>14</v>
      </c>
      <c r="B73" s="41">
        <v>3018</v>
      </c>
      <c r="C73" s="42" t="s">
        <v>417</v>
      </c>
      <c r="D73" s="43">
        <v>79221022933.470016</v>
      </c>
      <c r="E73" s="43">
        <v>4716238238.8600006</v>
      </c>
      <c r="F73" s="43">
        <v>61870285663.140007</v>
      </c>
      <c r="G73" s="43">
        <v>7796806518.1699982</v>
      </c>
      <c r="H73" s="43">
        <v>0</v>
      </c>
      <c r="I73" s="43">
        <v>179432.05000000002</v>
      </c>
      <c r="J73" s="43">
        <v>4526696196.9200001</v>
      </c>
      <c r="K73" s="43">
        <v>310816884.32999969</v>
      </c>
      <c r="L73" s="43">
        <v>519142832066.99017</v>
      </c>
      <c r="M73" s="43">
        <v>516371625584.38013</v>
      </c>
      <c r="N73" s="43">
        <v>0</v>
      </c>
      <c r="O73" s="43">
        <v>841949.32000000007</v>
      </c>
      <c r="P73" s="43">
        <v>4740324.63</v>
      </c>
      <c r="Q73" s="43">
        <v>1502571462.5099995</v>
      </c>
      <c r="R73" s="43">
        <v>230747861.01999992</v>
      </c>
      <c r="S73" s="43">
        <v>36412873.759999998</v>
      </c>
      <c r="T73" s="43">
        <v>995892011.37</v>
      </c>
      <c r="U73" s="51"/>
      <c r="V73" s="51"/>
    </row>
    <row r="74" spans="1:22" ht="13.5" customHeight="1">
      <c r="A74" s="40" t="s">
        <v>200</v>
      </c>
      <c r="B74" s="41">
        <v>4002</v>
      </c>
      <c r="C74" s="42" t="s">
        <v>418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51"/>
      <c r="V74" s="51"/>
    </row>
    <row r="75" spans="1:22" ht="13.5" customHeight="1">
      <c r="A75" s="44" t="s">
        <v>201</v>
      </c>
      <c r="B75" s="45">
        <v>4003</v>
      </c>
      <c r="C75" s="42" t="s">
        <v>418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51"/>
      <c r="V75" s="51"/>
    </row>
    <row r="76" spans="1:22" ht="13.5" customHeight="1">
      <c r="A76" s="44" t="s">
        <v>203</v>
      </c>
      <c r="B76" s="45">
        <v>4004</v>
      </c>
      <c r="C76" s="42" t="s">
        <v>418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51"/>
      <c r="V76" s="51"/>
    </row>
    <row r="77" spans="1:22" ht="13.5" customHeight="1">
      <c r="A77" s="44" t="s">
        <v>204</v>
      </c>
      <c r="B77" s="45">
        <v>4005</v>
      </c>
      <c r="C77" s="42" t="s">
        <v>418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51"/>
      <c r="V77" s="51"/>
    </row>
    <row r="78" spans="1:22" ht="13.5" customHeight="1">
      <c r="A78" s="46" t="s">
        <v>19</v>
      </c>
      <c r="B78" s="47">
        <v>9000</v>
      </c>
      <c r="C78" s="42" t="s">
        <v>419</v>
      </c>
      <c r="D78" s="48">
        <v>1406385897666.5322</v>
      </c>
      <c r="E78" s="48">
        <v>501826584190.58551</v>
      </c>
      <c r="F78" s="48">
        <v>519482453114.06018</v>
      </c>
      <c r="G78" s="48">
        <v>249534510294.60217</v>
      </c>
      <c r="H78" s="48">
        <v>490038819.42439997</v>
      </c>
      <c r="I78" s="48">
        <v>11214644884.650002</v>
      </c>
      <c r="J78" s="48">
        <v>113832004969.3501</v>
      </c>
      <c r="K78" s="48">
        <v>10005661393.86001</v>
      </c>
      <c r="L78" s="48">
        <v>112820421685.55774</v>
      </c>
      <c r="M78" s="48">
        <v>633047661.20771098</v>
      </c>
      <c r="N78" s="48">
        <v>8044089.8699999973</v>
      </c>
      <c r="O78" s="48">
        <v>83581176.079999998</v>
      </c>
      <c r="P78" s="48">
        <v>56990962538.110008</v>
      </c>
      <c r="Q78" s="48">
        <v>25287756455.269997</v>
      </c>
      <c r="R78" s="48">
        <v>10270269271.120001</v>
      </c>
      <c r="S78" s="48">
        <v>6602530843.2100058</v>
      </c>
      <c r="T78" s="48">
        <v>12944229650.690002</v>
      </c>
      <c r="U78" s="51"/>
      <c r="V78" s="51"/>
    </row>
    <row r="79" spans="1:22" ht="13.5" customHeight="1">
      <c r="A79" s="46" t="s">
        <v>20</v>
      </c>
      <c r="B79" s="47">
        <v>9001</v>
      </c>
      <c r="C79" s="42" t="s">
        <v>420</v>
      </c>
      <c r="D79" s="48">
        <v>838908022967.17749</v>
      </c>
      <c r="E79" s="48">
        <v>83208313356.287872</v>
      </c>
      <c r="F79" s="48">
        <v>282933564685.04004</v>
      </c>
      <c r="G79" s="48">
        <v>443715400112.18512</v>
      </c>
      <c r="H79" s="48">
        <v>176969769.35000002</v>
      </c>
      <c r="I79" s="48">
        <v>2630429922.0499992</v>
      </c>
      <c r="J79" s="48">
        <v>24959197157.534492</v>
      </c>
      <c r="K79" s="48">
        <v>1284147964.7299998</v>
      </c>
      <c r="L79" s="48">
        <v>2023453803169.4202</v>
      </c>
      <c r="M79" s="48">
        <v>2002390747804.51</v>
      </c>
      <c r="N79" s="48">
        <v>0</v>
      </c>
      <c r="O79" s="48">
        <v>602316713.62000012</v>
      </c>
      <c r="P79" s="48">
        <v>2795783797.2500005</v>
      </c>
      <c r="Q79" s="48">
        <v>5537843543.6699991</v>
      </c>
      <c r="R79" s="48">
        <v>6637070715.9299984</v>
      </c>
      <c r="S79" s="48">
        <v>1444011198.77</v>
      </c>
      <c r="T79" s="48">
        <v>4046029395.6699996</v>
      </c>
      <c r="U79" s="51"/>
      <c r="V79" s="51"/>
    </row>
    <row r="80" spans="1:22" ht="15.75">
      <c r="A80" s="46" t="s">
        <v>21</v>
      </c>
      <c r="B80" s="47">
        <v>9002</v>
      </c>
      <c r="C80" s="42" t="s">
        <v>421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51"/>
      <c r="V80" s="51"/>
    </row>
    <row r="81" spans="1:22" ht="15.75">
      <c r="A81" s="46" t="s">
        <v>22</v>
      </c>
      <c r="B81" s="47">
        <v>9003</v>
      </c>
      <c r="C81" s="42" t="s">
        <v>422</v>
      </c>
      <c r="D81" s="48">
        <v>2245293920633.71</v>
      </c>
      <c r="E81" s="48">
        <v>585034897546.87341</v>
      </c>
      <c r="F81" s="48">
        <v>802416017799.10022</v>
      </c>
      <c r="G81" s="48">
        <v>693249910406.78735</v>
      </c>
      <c r="H81" s="48">
        <v>667008588.7744</v>
      </c>
      <c r="I81" s="48">
        <v>13845074806.700001</v>
      </c>
      <c r="J81" s="48">
        <v>138791202126.88458</v>
      </c>
      <c r="K81" s="48">
        <v>11289809358.59001</v>
      </c>
      <c r="L81" s="48">
        <v>2136274224854.978</v>
      </c>
      <c r="M81" s="48">
        <v>2003023795465.7178</v>
      </c>
      <c r="N81" s="48">
        <v>8044089.8699999973</v>
      </c>
      <c r="O81" s="48">
        <v>685897889.70000017</v>
      </c>
      <c r="P81" s="48">
        <v>59786746335.360008</v>
      </c>
      <c r="Q81" s="48">
        <v>30825599998.939995</v>
      </c>
      <c r="R81" s="48">
        <v>16907339987.049999</v>
      </c>
      <c r="S81" s="48">
        <v>8046542041.9800053</v>
      </c>
      <c r="T81" s="48">
        <v>16990259046.360003</v>
      </c>
      <c r="U81" s="51"/>
      <c r="V81" s="51"/>
    </row>
    <row r="82" spans="1:22">
      <c r="A82" s="49" t="s">
        <v>23</v>
      </c>
      <c r="B82" s="50"/>
      <c r="C82" s="42" t="s">
        <v>423</v>
      </c>
      <c r="D82" s="48">
        <v>2245293920633.71</v>
      </c>
      <c r="E82" s="48">
        <v>585034897546.87341</v>
      </c>
      <c r="F82" s="48">
        <v>802416017799.10022</v>
      </c>
      <c r="G82" s="48">
        <v>693249910406.78735</v>
      </c>
      <c r="H82" s="48">
        <v>667008588.7744</v>
      </c>
      <c r="I82" s="48">
        <v>13845074806.700001</v>
      </c>
      <c r="J82" s="48">
        <v>138791202126.88458</v>
      </c>
      <c r="K82" s="48">
        <v>11289809358.59001</v>
      </c>
      <c r="L82" s="48">
        <v>2136274224854.978</v>
      </c>
      <c r="M82" s="48">
        <v>2003023795465.7178</v>
      </c>
      <c r="N82" s="48">
        <v>8044089.8699999973</v>
      </c>
      <c r="O82" s="48">
        <v>685897889.70000017</v>
      </c>
      <c r="P82" s="48">
        <v>59786746335.360008</v>
      </c>
      <c r="Q82" s="48">
        <v>30825599998.939995</v>
      </c>
      <c r="R82" s="48">
        <v>16907339987.049999</v>
      </c>
      <c r="S82" s="48">
        <v>8046542041.9800053</v>
      </c>
      <c r="T82" s="48">
        <v>16990259046.360003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0642-0F5B-4A3A-BF52-85F924BE5BB7}">
  <dimension ref="A1:EI82"/>
  <sheetViews>
    <sheetView showGridLines="0" zoomScale="80" zoomScaleNormal="80" workbookViewId="0">
      <pane xSplit="3" ySplit="6" topLeftCell="D7" activePane="bottomRight" state="frozen"/>
      <selection activeCell="E3" sqref="E3:F3"/>
      <selection pane="topRight" activeCell="E3" sqref="E3:F3"/>
      <selection pane="bottomLeft" activeCell="E3" sqref="E3:F3"/>
      <selection pane="bottomRight" activeCell="D7" sqref="D7"/>
    </sheetView>
  </sheetViews>
  <sheetFormatPr defaultColWidth="9.140625" defaultRowHeight="12.75"/>
  <cols>
    <col min="1" max="1" width="58.7109375" style="5" customWidth="1"/>
    <col min="2" max="3" width="15.7109375" style="5" customWidth="1"/>
    <col min="4" max="4" width="17.42578125" style="5" bestFit="1" customWidth="1"/>
    <col min="5" max="59" width="15.7109375" style="5" customWidth="1"/>
    <col min="60" max="60" width="17.42578125" style="5" bestFit="1" customWidth="1"/>
    <col min="61" max="68" width="15.7109375" style="5" customWidth="1"/>
    <col min="69" max="69" width="17.42578125" style="5" bestFit="1" customWidth="1"/>
    <col min="70" max="72" width="15.7109375" style="5" customWidth="1"/>
    <col min="73" max="73" width="17.42578125" style="5" bestFit="1" customWidth="1"/>
    <col min="74" max="136" width="15.7109375" style="5" customWidth="1"/>
    <col min="137" max="16384" width="9.140625" style="5"/>
  </cols>
  <sheetData>
    <row r="1" spans="1:139" s="36" customFormat="1" ht="15" customHeight="1">
      <c r="A1" s="33" t="s">
        <v>308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</row>
    <row r="2" spans="1:139" s="36" customFormat="1" ht="15" customHeight="1">
      <c r="A2" s="33" t="s">
        <v>425</v>
      </c>
      <c r="B2" s="34" t="s">
        <v>310</v>
      </c>
      <c r="C2" s="34"/>
      <c r="D2" s="34"/>
      <c r="E2" s="34"/>
      <c r="F2" s="34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</row>
    <row r="3" spans="1:139" s="36" customFormat="1" ht="15" customHeight="1">
      <c r="A3" s="33" t="s">
        <v>311</v>
      </c>
      <c r="B3" s="34" t="s">
        <v>310</v>
      </c>
      <c r="C3" s="34"/>
      <c r="D3" s="34"/>
      <c r="E3" s="34"/>
      <c r="F3" s="34"/>
      <c r="G3" s="34"/>
      <c r="H3" s="34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</row>
    <row r="4" spans="1:139" ht="1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</row>
    <row r="5" spans="1:139" ht="22.5" customHeight="1">
      <c r="A5" s="36"/>
      <c r="B5" s="36"/>
      <c r="C5" s="36"/>
      <c r="D5" s="52">
        <v>3</v>
      </c>
      <c r="E5" s="53">
        <v>30</v>
      </c>
      <c r="F5" s="54">
        <v>300</v>
      </c>
      <c r="G5" s="54">
        <v>301</v>
      </c>
      <c r="H5" s="54">
        <v>302</v>
      </c>
      <c r="I5" s="54">
        <v>303</v>
      </c>
      <c r="J5" s="54">
        <v>304</v>
      </c>
      <c r="K5" s="54">
        <v>307</v>
      </c>
      <c r="L5" s="54">
        <v>308</v>
      </c>
      <c r="M5" s="54">
        <v>309</v>
      </c>
      <c r="N5" s="53">
        <v>32</v>
      </c>
      <c r="O5" s="54">
        <v>320</v>
      </c>
      <c r="P5" s="54">
        <v>322</v>
      </c>
      <c r="Q5" s="54">
        <v>324</v>
      </c>
      <c r="R5" s="54">
        <v>327</v>
      </c>
      <c r="S5" s="54">
        <v>328</v>
      </c>
      <c r="T5" s="54">
        <v>329</v>
      </c>
      <c r="U5" s="53">
        <v>33</v>
      </c>
      <c r="V5" s="54">
        <v>331</v>
      </c>
      <c r="W5" s="54">
        <v>332</v>
      </c>
      <c r="X5" s="54">
        <v>333</v>
      </c>
      <c r="Y5" s="54">
        <v>334</v>
      </c>
      <c r="Z5" s="54">
        <v>335</v>
      </c>
      <c r="AA5" s="54">
        <v>338</v>
      </c>
      <c r="AB5" s="53">
        <v>34</v>
      </c>
      <c r="AC5" s="54">
        <v>345</v>
      </c>
      <c r="AD5" s="54">
        <v>346</v>
      </c>
      <c r="AE5" s="54">
        <v>347</v>
      </c>
      <c r="AF5" s="54">
        <v>349</v>
      </c>
      <c r="AG5" s="53">
        <v>35</v>
      </c>
      <c r="AH5" s="54">
        <v>350</v>
      </c>
      <c r="AI5" s="54">
        <v>351</v>
      </c>
      <c r="AJ5" s="54">
        <v>352</v>
      </c>
      <c r="AK5" s="54">
        <v>353</v>
      </c>
      <c r="AL5" s="54">
        <v>354</v>
      </c>
      <c r="AM5" s="54">
        <v>359</v>
      </c>
      <c r="AN5" s="53">
        <v>36</v>
      </c>
      <c r="AO5" s="54">
        <v>360</v>
      </c>
      <c r="AP5" s="54">
        <v>361</v>
      </c>
      <c r="AQ5" s="54">
        <v>362</v>
      </c>
      <c r="AR5" s="54">
        <v>363</v>
      </c>
      <c r="AS5" s="54">
        <v>364</v>
      </c>
      <c r="AT5" s="54">
        <v>365</v>
      </c>
      <c r="AU5" s="54">
        <v>369</v>
      </c>
      <c r="AV5" s="53">
        <v>37</v>
      </c>
      <c r="AW5" s="54">
        <v>371</v>
      </c>
      <c r="AX5" s="54">
        <v>372</v>
      </c>
      <c r="AY5" s="54">
        <v>373</v>
      </c>
      <c r="AZ5" s="53">
        <v>38</v>
      </c>
      <c r="BA5" s="54">
        <v>380</v>
      </c>
      <c r="BB5" s="54">
        <v>383</v>
      </c>
      <c r="BC5" s="54">
        <v>384</v>
      </c>
      <c r="BD5" s="53">
        <v>39</v>
      </c>
      <c r="BE5" s="54">
        <v>394</v>
      </c>
      <c r="BF5" s="54">
        <v>397</v>
      </c>
      <c r="BG5" s="54">
        <v>399</v>
      </c>
      <c r="BH5" s="55">
        <v>4</v>
      </c>
      <c r="BI5" s="53">
        <v>40</v>
      </c>
      <c r="BJ5" s="54">
        <v>400</v>
      </c>
      <c r="BK5" s="54">
        <v>401</v>
      </c>
      <c r="BL5" s="54">
        <v>402</v>
      </c>
      <c r="BM5" s="54">
        <v>404</v>
      </c>
      <c r="BN5" s="54">
        <v>407</v>
      </c>
      <c r="BO5" s="54">
        <v>408</v>
      </c>
      <c r="BP5" s="54">
        <v>409</v>
      </c>
      <c r="BQ5" s="53">
        <v>42</v>
      </c>
      <c r="BR5" s="54">
        <v>420</v>
      </c>
      <c r="BS5" s="54">
        <v>422</v>
      </c>
      <c r="BT5" s="54">
        <v>424</v>
      </c>
      <c r="BU5" s="54">
        <v>427</v>
      </c>
      <c r="BV5" s="54">
        <v>428</v>
      </c>
      <c r="BW5" s="54">
        <v>429</v>
      </c>
      <c r="BX5" s="53">
        <v>43</v>
      </c>
      <c r="BY5" s="54">
        <v>431</v>
      </c>
      <c r="BZ5" s="54">
        <v>432</v>
      </c>
      <c r="CA5" s="54">
        <v>433</v>
      </c>
      <c r="CB5" s="54">
        <v>434</v>
      </c>
      <c r="CC5" s="54">
        <v>435</v>
      </c>
      <c r="CD5" s="54">
        <v>438</v>
      </c>
      <c r="CE5" s="1">
        <v>44</v>
      </c>
      <c r="CF5" s="54">
        <v>445</v>
      </c>
      <c r="CG5" s="54">
        <v>446</v>
      </c>
      <c r="CH5" s="54">
        <v>447</v>
      </c>
      <c r="CI5" s="54">
        <v>449</v>
      </c>
      <c r="CJ5" s="53">
        <v>45</v>
      </c>
      <c r="CK5" s="54">
        <v>450</v>
      </c>
      <c r="CL5" s="54">
        <v>451</v>
      </c>
      <c r="CM5" s="54">
        <v>452</v>
      </c>
      <c r="CN5" s="54">
        <v>453</v>
      </c>
      <c r="CO5" s="54">
        <v>454</v>
      </c>
      <c r="CP5" s="54">
        <v>459</v>
      </c>
      <c r="CQ5" s="53">
        <v>46</v>
      </c>
      <c r="CR5" s="54">
        <v>460</v>
      </c>
      <c r="CS5" s="54">
        <v>461</v>
      </c>
      <c r="CT5" s="54">
        <v>469</v>
      </c>
      <c r="CU5" s="53">
        <v>47</v>
      </c>
      <c r="CV5" s="54">
        <v>471</v>
      </c>
      <c r="CW5" s="54">
        <v>472</v>
      </c>
      <c r="CX5" s="53">
        <v>48</v>
      </c>
      <c r="CY5" s="54">
        <v>480</v>
      </c>
      <c r="CZ5" s="54">
        <v>483</v>
      </c>
      <c r="DA5" s="54">
        <v>489</v>
      </c>
      <c r="DB5" s="53">
        <v>49</v>
      </c>
      <c r="DC5" s="54">
        <v>494</v>
      </c>
      <c r="DD5" s="54">
        <v>499</v>
      </c>
      <c r="DE5" s="55">
        <v>5</v>
      </c>
      <c r="DF5" s="53">
        <v>50</v>
      </c>
      <c r="DG5" s="54">
        <v>500</v>
      </c>
      <c r="DH5" s="54">
        <v>501</v>
      </c>
      <c r="DI5" s="54">
        <v>502</v>
      </c>
      <c r="DJ5" s="54">
        <v>503</v>
      </c>
      <c r="DK5" s="54">
        <v>504</v>
      </c>
      <c r="DL5" s="53">
        <v>52</v>
      </c>
      <c r="DM5" s="54">
        <v>520</v>
      </c>
      <c r="DN5" s="54">
        <v>521</v>
      </c>
      <c r="DO5" s="54">
        <v>524</v>
      </c>
      <c r="DP5" s="54">
        <v>525</v>
      </c>
      <c r="DQ5" s="54">
        <v>529</v>
      </c>
      <c r="DR5" s="53">
        <v>54</v>
      </c>
      <c r="DS5" s="54">
        <v>540</v>
      </c>
      <c r="DT5" s="54">
        <v>541</v>
      </c>
      <c r="DU5" s="54">
        <v>542</v>
      </c>
      <c r="DV5" s="54">
        <v>543</v>
      </c>
      <c r="DW5" s="54">
        <v>545</v>
      </c>
      <c r="DX5" s="54">
        <v>549</v>
      </c>
      <c r="DY5" s="53">
        <v>57</v>
      </c>
      <c r="DZ5" s="54">
        <v>570</v>
      </c>
      <c r="EA5" s="53">
        <v>58</v>
      </c>
      <c r="EB5" s="54">
        <v>580</v>
      </c>
      <c r="EC5" s="53">
        <v>59</v>
      </c>
      <c r="ED5" s="54">
        <v>590</v>
      </c>
      <c r="EE5" s="54">
        <v>591</v>
      </c>
      <c r="EF5" s="54">
        <v>592</v>
      </c>
      <c r="EG5" s="51"/>
      <c r="EH5" s="51"/>
      <c r="EI5" s="51"/>
    </row>
    <row r="6" spans="1:139" ht="80.099999999999994" customHeight="1">
      <c r="A6" s="39" t="s">
        <v>312</v>
      </c>
      <c r="B6" s="39" t="s">
        <v>313</v>
      </c>
      <c r="C6" s="39" t="s">
        <v>314</v>
      </c>
      <c r="D6" s="52" t="s">
        <v>426</v>
      </c>
      <c r="E6" s="53" t="s">
        <v>427</v>
      </c>
      <c r="F6" s="54" t="s">
        <v>428</v>
      </c>
      <c r="G6" s="54" t="s">
        <v>429</v>
      </c>
      <c r="H6" s="54" t="s">
        <v>430</v>
      </c>
      <c r="I6" s="54" t="s">
        <v>431</v>
      </c>
      <c r="J6" s="54" t="s">
        <v>432</v>
      </c>
      <c r="K6" s="54" t="s">
        <v>433</v>
      </c>
      <c r="L6" s="54" t="s">
        <v>434</v>
      </c>
      <c r="M6" s="54" t="s">
        <v>435</v>
      </c>
      <c r="N6" s="53" t="s">
        <v>436</v>
      </c>
      <c r="O6" s="54" t="s">
        <v>437</v>
      </c>
      <c r="P6" s="54" t="s">
        <v>438</v>
      </c>
      <c r="Q6" s="54" t="s">
        <v>439</v>
      </c>
      <c r="R6" s="54" t="s">
        <v>440</v>
      </c>
      <c r="S6" s="54" t="s">
        <v>441</v>
      </c>
      <c r="T6" s="54" t="s">
        <v>442</v>
      </c>
      <c r="U6" s="53" t="s">
        <v>443</v>
      </c>
      <c r="V6" s="54" t="s">
        <v>444</v>
      </c>
      <c r="W6" s="54" t="s">
        <v>445</v>
      </c>
      <c r="X6" s="54" t="s">
        <v>446</v>
      </c>
      <c r="Y6" s="54" t="s">
        <v>447</v>
      </c>
      <c r="Z6" s="54" t="s">
        <v>448</v>
      </c>
      <c r="AA6" s="54" t="s">
        <v>449</v>
      </c>
      <c r="AB6" s="53" t="s">
        <v>450</v>
      </c>
      <c r="AC6" s="54" t="s">
        <v>451</v>
      </c>
      <c r="AD6" s="54" t="s">
        <v>452</v>
      </c>
      <c r="AE6" s="54" t="s">
        <v>453</v>
      </c>
      <c r="AF6" s="54" t="s">
        <v>454</v>
      </c>
      <c r="AG6" s="53" t="s">
        <v>455</v>
      </c>
      <c r="AH6" s="54" t="s">
        <v>456</v>
      </c>
      <c r="AI6" s="54" t="s">
        <v>457</v>
      </c>
      <c r="AJ6" s="54" t="s">
        <v>458</v>
      </c>
      <c r="AK6" s="54" t="s">
        <v>459</v>
      </c>
      <c r="AL6" s="54" t="s">
        <v>460</v>
      </c>
      <c r="AM6" s="54" t="s">
        <v>461</v>
      </c>
      <c r="AN6" s="53" t="s">
        <v>462</v>
      </c>
      <c r="AO6" s="54" t="s">
        <v>463</v>
      </c>
      <c r="AP6" s="54" t="s">
        <v>464</v>
      </c>
      <c r="AQ6" s="54" t="s">
        <v>465</v>
      </c>
      <c r="AR6" s="54" t="s">
        <v>466</v>
      </c>
      <c r="AS6" s="54" t="s">
        <v>467</v>
      </c>
      <c r="AT6" s="54" t="s">
        <v>468</v>
      </c>
      <c r="AU6" s="54" t="s">
        <v>469</v>
      </c>
      <c r="AV6" s="53" t="s">
        <v>470</v>
      </c>
      <c r="AW6" s="54" t="s">
        <v>471</v>
      </c>
      <c r="AX6" s="54" t="s">
        <v>472</v>
      </c>
      <c r="AY6" s="54" t="s">
        <v>473</v>
      </c>
      <c r="AZ6" s="53" t="s">
        <v>474</v>
      </c>
      <c r="BA6" s="54" t="s">
        <v>475</v>
      </c>
      <c r="BB6" s="54" t="s">
        <v>476</v>
      </c>
      <c r="BC6" s="54" t="s">
        <v>477</v>
      </c>
      <c r="BD6" s="53" t="s">
        <v>478</v>
      </c>
      <c r="BE6" s="54" t="s">
        <v>479</v>
      </c>
      <c r="BF6" s="54" t="s">
        <v>480</v>
      </c>
      <c r="BG6" s="54" t="s">
        <v>481</v>
      </c>
      <c r="BH6" s="55" t="s">
        <v>482</v>
      </c>
      <c r="BI6" s="53" t="s">
        <v>427</v>
      </c>
      <c r="BJ6" s="54" t="s">
        <v>428</v>
      </c>
      <c r="BK6" s="54" t="s">
        <v>429</v>
      </c>
      <c r="BL6" s="54" t="s">
        <v>430</v>
      </c>
      <c r="BM6" s="54" t="s">
        <v>483</v>
      </c>
      <c r="BN6" s="54" t="s">
        <v>433</v>
      </c>
      <c r="BO6" s="54" t="s">
        <v>434</v>
      </c>
      <c r="BP6" s="54" t="s">
        <v>435</v>
      </c>
      <c r="BQ6" s="53" t="s">
        <v>436</v>
      </c>
      <c r="BR6" s="54" t="s">
        <v>437</v>
      </c>
      <c r="BS6" s="54" t="s">
        <v>438</v>
      </c>
      <c r="BT6" s="54" t="s">
        <v>439</v>
      </c>
      <c r="BU6" s="54" t="s">
        <v>440</v>
      </c>
      <c r="BV6" s="54" t="s">
        <v>484</v>
      </c>
      <c r="BW6" s="54" t="s">
        <v>485</v>
      </c>
      <c r="BX6" s="53" t="s">
        <v>486</v>
      </c>
      <c r="BY6" s="54" t="s">
        <v>444</v>
      </c>
      <c r="BZ6" s="54" t="s">
        <v>445</v>
      </c>
      <c r="CA6" s="54" t="s">
        <v>446</v>
      </c>
      <c r="CB6" s="54" t="s">
        <v>447</v>
      </c>
      <c r="CC6" s="54" t="s">
        <v>448</v>
      </c>
      <c r="CD6" s="54" t="s">
        <v>449</v>
      </c>
      <c r="CE6" s="1" t="s">
        <v>450</v>
      </c>
      <c r="CF6" s="54" t="s">
        <v>451</v>
      </c>
      <c r="CG6" s="54" t="s">
        <v>452</v>
      </c>
      <c r="CH6" s="54" t="s">
        <v>453</v>
      </c>
      <c r="CI6" s="54" t="s">
        <v>454</v>
      </c>
      <c r="CJ6" s="53" t="s">
        <v>455</v>
      </c>
      <c r="CK6" s="54" t="s">
        <v>456</v>
      </c>
      <c r="CL6" s="54" t="s">
        <v>457</v>
      </c>
      <c r="CM6" s="54" t="s">
        <v>458</v>
      </c>
      <c r="CN6" s="54" t="s">
        <v>459</v>
      </c>
      <c r="CO6" s="54" t="s">
        <v>460</v>
      </c>
      <c r="CP6" s="54" t="s">
        <v>461</v>
      </c>
      <c r="CQ6" s="53" t="s">
        <v>487</v>
      </c>
      <c r="CR6" s="54" t="s">
        <v>488</v>
      </c>
      <c r="CS6" s="54" t="s">
        <v>489</v>
      </c>
      <c r="CT6" s="54" t="s">
        <v>490</v>
      </c>
      <c r="CU6" s="53" t="s">
        <v>470</v>
      </c>
      <c r="CV6" s="54" t="s">
        <v>471</v>
      </c>
      <c r="CW6" s="54" t="s">
        <v>472</v>
      </c>
      <c r="CX6" s="53" t="s">
        <v>491</v>
      </c>
      <c r="CY6" s="54" t="s">
        <v>492</v>
      </c>
      <c r="CZ6" s="54" t="s">
        <v>476</v>
      </c>
      <c r="DA6" s="54" t="s">
        <v>493</v>
      </c>
      <c r="DB6" s="53" t="s">
        <v>494</v>
      </c>
      <c r="DC6" s="54" t="s">
        <v>479</v>
      </c>
      <c r="DD6" s="54" t="s">
        <v>495</v>
      </c>
      <c r="DE6" s="55" t="s">
        <v>496</v>
      </c>
      <c r="DF6" s="53" t="s">
        <v>497</v>
      </c>
      <c r="DG6" s="54" t="s">
        <v>498</v>
      </c>
      <c r="DH6" s="54" t="s">
        <v>499</v>
      </c>
      <c r="DI6" s="54" t="s">
        <v>500</v>
      </c>
      <c r="DJ6" s="54" t="s">
        <v>501</v>
      </c>
      <c r="DK6" s="54" t="s">
        <v>502</v>
      </c>
      <c r="DL6" s="53" t="s">
        <v>503</v>
      </c>
      <c r="DM6" s="54" t="s">
        <v>504</v>
      </c>
      <c r="DN6" s="54" t="s">
        <v>505</v>
      </c>
      <c r="DO6" s="54" t="s">
        <v>506</v>
      </c>
      <c r="DP6" s="54" t="s">
        <v>507</v>
      </c>
      <c r="DQ6" s="54" t="s">
        <v>508</v>
      </c>
      <c r="DR6" s="53" t="s">
        <v>509</v>
      </c>
      <c r="DS6" s="54" t="s">
        <v>510</v>
      </c>
      <c r="DT6" s="54" t="s">
        <v>511</v>
      </c>
      <c r="DU6" s="54" t="s">
        <v>512</v>
      </c>
      <c r="DV6" s="54" t="s">
        <v>513</v>
      </c>
      <c r="DW6" s="54" t="s">
        <v>514</v>
      </c>
      <c r="DX6" s="54" t="s">
        <v>515</v>
      </c>
      <c r="DY6" s="53" t="s">
        <v>516</v>
      </c>
      <c r="DZ6" s="54" t="s">
        <v>516</v>
      </c>
      <c r="EA6" s="53" t="s">
        <v>517</v>
      </c>
      <c r="EB6" s="54" t="s">
        <v>518</v>
      </c>
      <c r="EC6" s="53" t="s">
        <v>519</v>
      </c>
      <c r="ED6" s="54" t="s">
        <v>519</v>
      </c>
      <c r="EE6" s="54" t="s">
        <v>520</v>
      </c>
      <c r="EF6" s="54" t="s">
        <v>521</v>
      </c>
      <c r="EG6" s="51"/>
      <c r="EH6" s="51"/>
      <c r="EI6" s="51"/>
    </row>
    <row r="7" spans="1:139" ht="12.75" customHeight="1">
      <c r="A7" s="40" t="s">
        <v>0</v>
      </c>
      <c r="B7" s="41">
        <v>1001</v>
      </c>
      <c r="C7" s="42" t="s">
        <v>415</v>
      </c>
      <c r="D7" s="43">
        <v>2861050542.0899987</v>
      </c>
      <c r="E7" s="43">
        <v>9296401.9100000001</v>
      </c>
      <c r="F7" s="43">
        <v>0</v>
      </c>
      <c r="G7" s="43">
        <v>18592803.41</v>
      </c>
      <c r="H7" s="43">
        <v>-9296401.5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797507150.75</v>
      </c>
      <c r="O7" s="43">
        <v>797701707.87</v>
      </c>
      <c r="P7" s="43">
        <v>0</v>
      </c>
      <c r="Q7" s="43">
        <v>0</v>
      </c>
      <c r="R7" s="43">
        <v>0</v>
      </c>
      <c r="S7" s="43">
        <v>-194557.12</v>
      </c>
      <c r="T7" s="43">
        <v>0</v>
      </c>
      <c r="U7" s="43">
        <v>37905119.620000005</v>
      </c>
      <c r="V7" s="43">
        <v>37813215.950000003</v>
      </c>
      <c r="W7" s="43">
        <v>0</v>
      </c>
      <c r="X7" s="43">
        <v>0</v>
      </c>
      <c r="Y7" s="43">
        <v>0</v>
      </c>
      <c r="Z7" s="43">
        <v>91903.67</v>
      </c>
      <c r="AA7" s="43">
        <v>0</v>
      </c>
      <c r="AB7" s="43">
        <v>43451979.060000002</v>
      </c>
      <c r="AC7" s="43">
        <v>0</v>
      </c>
      <c r="AD7" s="43">
        <v>0</v>
      </c>
      <c r="AE7" s="43">
        <v>43451979.060000002</v>
      </c>
      <c r="AF7" s="43">
        <v>0</v>
      </c>
      <c r="AG7" s="43">
        <v>1736705191.9399991</v>
      </c>
      <c r="AH7" s="43">
        <v>732708596.16000009</v>
      </c>
      <c r="AI7" s="43">
        <v>61157582.82</v>
      </c>
      <c r="AJ7" s="43">
        <v>0</v>
      </c>
      <c r="AK7" s="43">
        <v>942839012.95999908</v>
      </c>
      <c r="AL7" s="43">
        <v>0</v>
      </c>
      <c r="AM7" s="43">
        <v>0</v>
      </c>
      <c r="AN7" s="43">
        <v>108955810.47</v>
      </c>
      <c r="AO7" s="43">
        <v>60599637.390000001</v>
      </c>
      <c r="AP7" s="43">
        <v>4556368.09</v>
      </c>
      <c r="AQ7" s="43">
        <v>0</v>
      </c>
      <c r="AR7" s="43">
        <v>0</v>
      </c>
      <c r="AS7" s="43">
        <v>-12519746.779999999</v>
      </c>
      <c r="AT7" s="43">
        <v>56319551.770000003</v>
      </c>
      <c r="AU7" s="43">
        <v>0</v>
      </c>
      <c r="AV7" s="43">
        <v>0</v>
      </c>
      <c r="AW7" s="43">
        <v>0</v>
      </c>
      <c r="AX7" s="43">
        <v>0</v>
      </c>
      <c r="AY7" s="43">
        <v>0</v>
      </c>
      <c r="AZ7" s="43">
        <v>127228888.34</v>
      </c>
      <c r="BA7" s="43">
        <v>43951416.93</v>
      </c>
      <c r="BB7" s="43">
        <v>83277471.409999996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35258683.310000002</v>
      </c>
      <c r="BI7" s="43">
        <v>10896335.830000002</v>
      </c>
      <c r="BJ7" s="43">
        <v>0</v>
      </c>
      <c r="BK7" s="43">
        <v>29301883.07</v>
      </c>
      <c r="BL7" s="43">
        <v>-18405547.239999998</v>
      </c>
      <c r="BM7" s="43">
        <v>0</v>
      </c>
      <c r="BN7" s="43">
        <v>0</v>
      </c>
      <c r="BO7" s="43">
        <v>0</v>
      </c>
      <c r="BP7" s="43">
        <v>0</v>
      </c>
      <c r="BQ7" s="43">
        <v>0</v>
      </c>
      <c r="BR7" s="43">
        <v>0</v>
      </c>
      <c r="BS7" s="43">
        <v>0</v>
      </c>
      <c r="BT7" s="43">
        <v>0</v>
      </c>
      <c r="BU7" s="43">
        <v>0</v>
      </c>
      <c r="BV7" s="43">
        <v>0</v>
      </c>
      <c r="BW7" s="43">
        <v>0</v>
      </c>
      <c r="BX7" s="43">
        <v>0</v>
      </c>
      <c r="BY7" s="43">
        <v>0</v>
      </c>
      <c r="BZ7" s="43">
        <v>0</v>
      </c>
      <c r="CA7" s="43">
        <v>0</v>
      </c>
      <c r="CB7" s="43">
        <v>0</v>
      </c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15058392.800000001</v>
      </c>
      <c r="CK7" s="43">
        <v>0</v>
      </c>
      <c r="CL7" s="43">
        <v>0</v>
      </c>
      <c r="CM7" s="43">
        <v>0</v>
      </c>
      <c r="CN7" s="43">
        <v>0</v>
      </c>
      <c r="CO7" s="43">
        <v>0</v>
      </c>
      <c r="CP7" s="43">
        <v>15058392.800000001</v>
      </c>
      <c r="CQ7" s="43">
        <v>0</v>
      </c>
      <c r="CR7" s="43">
        <v>0</v>
      </c>
      <c r="CS7" s="43">
        <v>0</v>
      </c>
      <c r="CT7" s="43">
        <v>0</v>
      </c>
      <c r="CU7" s="43">
        <v>9303954.6799999997</v>
      </c>
      <c r="CV7" s="43">
        <v>9303954.6799999997</v>
      </c>
      <c r="CW7" s="43">
        <v>0</v>
      </c>
      <c r="CX7" s="43">
        <v>0</v>
      </c>
      <c r="CY7" s="43">
        <v>0</v>
      </c>
      <c r="CZ7" s="43">
        <v>0</v>
      </c>
      <c r="DA7" s="43">
        <v>0</v>
      </c>
      <c r="DB7" s="43">
        <v>0</v>
      </c>
      <c r="DC7" s="43">
        <v>0</v>
      </c>
      <c r="DD7" s="43">
        <v>0</v>
      </c>
      <c r="DE7" s="43">
        <v>1635713738.2299995</v>
      </c>
      <c r="DF7" s="43">
        <v>139347558.31</v>
      </c>
      <c r="DG7" s="43">
        <v>139347558.31</v>
      </c>
      <c r="DH7" s="43">
        <v>0</v>
      </c>
      <c r="DI7" s="43">
        <v>0</v>
      </c>
      <c r="DJ7" s="43">
        <v>0</v>
      </c>
      <c r="DK7" s="43">
        <v>0</v>
      </c>
      <c r="DL7" s="43">
        <v>0</v>
      </c>
      <c r="DM7" s="43">
        <v>0</v>
      </c>
      <c r="DN7" s="43">
        <v>0</v>
      </c>
      <c r="DO7" s="43">
        <v>0</v>
      </c>
      <c r="DP7" s="43">
        <v>0</v>
      </c>
      <c r="DQ7" s="43">
        <v>0</v>
      </c>
      <c r="DR7" s="43">
        <v>184288859.31</v>
      </c>
      <c r="DS7" s="43">
        <v>183391413.12</v>
      </c>
      <c r="DT7" s="43">
        <v>0</v>
      </c>
      <c r="DU7" s="43">
        <v>0</v>
      </c>
      <c r="DV7" s="43">
        <v>0</v>
      </c>
      <c r="DW7" s="43">
        <v>0</v>
      </c>
      <c r="DX7" s="43">
        <v>897446.19</v>
      </c>
      <c r="DY7" s="43">
        <v>1305023210.4200001</v>
      </c>
      <c r="DZ7" s="43">
        <v>1305023210.4200001</v>
      </c>
      <c r="EA7" s="43">
        <v>0</v>
      </c>
      <c r="EB7" s="43">
        <v>0</v>
      </c>
      <c r="EC7" s="43">
        <v>7054110.1899994668</v>
      </c>
      <c r="ED7" s="43">
        <v>7054110.1899994668</v>
      </c>
      <c r="EE7" s="43">
        <v>0</v>
      </c>
      <c r="EF7" s="43">
        <v>0</v>
      </c>
      <c r="EG7" s="51"/>
      <c r="EH7" s="51"/>
      <c r="EI7" s="51"/>
    </row>
    <row r="8" spans="1:139" ht="12.75" customHeight="1">
      <c r="A8" s="40" t="s">
        <v>27</v>
      </c>
      <c r="B8" s="41">
        <v>1003</v>
      </c>
      <c r="C8" s="42" t="s">
        <v>415</v>
      </c>
      <c r="D8" s="43">
        <v>30882257064.250004</v>
      </c>
      <c r="E8" s="43">
        <v>46285840.409999982</v>
      </c>
      <c r="F8" s="43">
        <v>0</v>
      </c>
      <c r="G8" s="43">
        <v>135878810.91999999</v>
      </c>
      <c r="H8" s="43">
        <v>-89592970.510000005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5769632300.79</v>
      </c>
      <c r="O8" s="43">
        <v>5769632300.79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206354017.74000001</v>
      </c>
      <c r="V8" s="43">
        <v>0</v>
      </c>
      <c r="W8" s="43">
        <v>0</v>
      </c>
      <c r="X8" s="43">
        <v>0</v>
      </c>
      <c r="Y8" s="43">
        <v>0</v>
      </c>
      <c r="Z8" s="43">
        <v>1563055</v>
      </c>
      <c r="AA8" s="43">
        <v>204790962.74000001</v>
      </c>
      <c r="AB8" s="43">
        <v>928686711.83000088</v>
      </c>
      <c r="AC8" s="43">
        <v>155095624.41999999</v>
      </c>
      <c r="AD8" s="43">
        <v>167902824.23999998</v>
      </c>
      <c r="AE8" s="43">
        <v>605688263.17000091</v>
      </c>
      <c r="AF8" s="43">
        <v>0</v>
      </c>
      <c r="AG8" s="43">
        <v>21077222330.850002</v>
      </c>
      <c r="AH8" s="43">
        <v>10793694900.6</v>
      </c>
      <c r="AI8" s="43">
        <v>1394710270.4099998</v>
      </c>
      <c r="AJ8" s="43">
        <v>0</v>
      </c>
      <c r="AK8" s="43">
        <v>8888797258.1100044</v>
      </c>
      <c r="AL8" s="43">
        <v>19901.729999999981</v>
      </c>
      <c r="AM8" s="43">
        <v>0</v>
      </c>
      <c r="AN8" s="43">
        <v>273568865.63</v>
      </c>
      <c r="AO8" s="43">
        <v>249731847.72</v>
      </c>
      <c r="AP8" s="43">
        <v>3541568.49</v>
      </c>
      <c r="AQ8" s="43">
        <v>0</v>
      </c>
      <c r="AR8" s="43">
        <v>5514.42</v>
      </c>
      <c r="AS8" s="43">
        <v>20289935</v>
      </c>
      <c r="AT8" s="43">
        <v>0</v>
      </c>
      <c r="AU8" s="43">
        <v>0</v>
      </c>
      <c r="AV8" s="43">
        <v>532841140.99999994</v>
      </c>
      <c r="AW8" s="43">
        <v>0</v>
      </c>
      <c r="AX8" s="43">
        <v>0</v>
      </c>
      <c r="AY8" s="43">
        <v>532841140.99999994</v>
      </c>
      <c r="AZ8" s="43">
        <v>2047665856</v>
      </c>
      <c r="BA8" s="43">
        <v>1901745366.3800001</v>
      </c>
      <c r="BB8" s="43">
        <v>145920489.62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644754278.96000016</v>
      </c>
      <c r="BI8" s="43">
        <v>185774022.89000002</v>
      </c>
      <c r="BJ8" s="43">
        <v>0</v>
      </c>
      <c r="BK8" s="43">
        <v>393766237.61000001</v>
      </c>
      <c r="BL8" s="43">
        <v>-207992214.72</v>
      </c>
      <c r="BM8" s="43">
        <v>0</v>
      </c>
      <c r="BN8" s="43">
        <v>0</v>
      </c>
      <c r="BO8" s="43">
        <v>0</v>
      </c>
      <c r="BP8" s="43">
        <v>0</v>
      </c>
      <c r="BQ8" s="43">
        <v>0</v>
      </c>
      <c r="BR8" s="43">
        <v>0</v>
      </c>
      <c r="BS8" s="43">
        <v>0</v>
      </c>
      <c r="BT8" s="43">
        <v>0</v>
      </c>
      <c r="BU8" s="43">
        <v>0</v>
      </c>
      <c r="BV8" s="43">
        <v>0</v>
      </c>
      <c r="BW8" s="43">
        <v>0</v>
      </c>
      <c r="BX8" s="43">
        <v>0</v>
      </c>
      <c r="BY8" s="43">
        <v>0</v>
      </c>
      <c r="BZ8" s="43">
        <v>0</v>
      </c>
      <c r="CA8" s="43">
        <v>0</v>
      </c>
      <c r="CB8" s="43">
        <v>0</v>
      </c>
      <c r="CC8" s="43">
        <v>0</v>
      </c>
      <c r="CD8" s="43">
        <v>0</v>
      </c>
      <c r="CE8" s="43">
        <v>0</v>
      </c>
      <c r="CF8" s="43">
        <v>0</v>
      </c>
      <c r="CG8" s="43">
        <v>0</v>
      </c>
      <c r="CH8" s="43">
        <v>0</v>
      </c>
      <c r="CI8" s="43">
        <v>0</v>
      </c>
      <c r="CJ8" s="43">
        <v>406713106.80000013</v>
      </c>
      <c r="CK8" s="43">
        <v>0</v>
      </c>
      <c r="CL8" s="43">
        <v>0</v>
      </c>
      <c r="CM8" s="43">
        <v>4739760.46</v>
      </c>
      <c r="CN8" s="43">
        <v>0</v>
      </c>
      <c r="CO8" s="43">
        <v>0</v>
      </c>
      <c r="CP8" s="43">
        <v>401973346.34000015</v>
      </c>
      <c r="CQ8" s="43">
        <v>0</v>
      </c>
      <c r="CR8" s="43">
        <v>0</v>
      </c>
      <c r="CS8" s="43">
        <v>0</v>
      </c>
      <c r="CT8" s="43">
        <v>0</v>
      </c>
      <c r="CU8" s="43">
        <v>52267149.270000003</v>
      </c>
      <c r="CV8" s="43">
        <v>52267149.270000003</v>
      </c>
      <c r="CW8" s="43">
        <v>0</v>
      </c>
      <c r="CX8" s="43">
        <v>0</v>
      </c>
      <c r="CY8" s="43">
        <v>0</v>
      </c>
      <c r="CZ8" s="43">
        <v>0</v>
      </c>
      <c r="DA8" s="43">
        <v>0</v>
      </c>
      <c r="DB8" s="43">
        <v>0</v>
      </c>
      <c r="DC8" s="43">
        <v>0</v>
      </c>
      <c r="DD8" s="43">
        <v>0</v>
      </c>
      <c r="DE8" s="43">
        <v>8586827283.1899986</v>
      </c>
      <c r="DF8" s="43">
        <v>1612000000</v>
      </c>
      <c r="DG8" s="43">
        <v>1612000000</v>
      </c>
      <c r="DH8" s="43">
        <v>0</v>
      </c>
      <c r="DI8" s="43">
        <v>0</v>
      </c>
      <c r="DJ8" s="43">
        <v>0</v>
      </c>
      <c r="DK8" s="43">
        <v>0</v>
      </c>
      <c r="DL8" s="43">
        <v>3463617.33</v>
      </c>
      <c r="DM8" s="43">
        <v>3463617.33</v>
      </c>
      <c r="DN8" s="43">
        <v>0</v>
      </c>
      <c r="DO8" s="43">
        <v>0</v>
      </c>
      <c r="DP8" s="43">
        <v>0</v>
      </c>
      <c r="DQ8" s="43">
        <v>0</v>
      </c>
      <c r="DR8" s="43">
        <v>4518643567.1199999</v>
      </c>
      <c r="DS8" s="43">
        <v>360974513.10000002</v>
      </c>
      <c r="DT8" s="43">
        <v>62</v>
      </c>
      <c r="DU8" s="43">
        <v>4210261313.79</v>
      </c>
      <c r="DV8" s="43">
        <v>-75640269.129999995</v>
      </c>
      <c r="DW8" s="43">
        <v>23047947.359999999</v>
      </c>
      <c r="DX8" s="43">
        <v>0</v>
      </c>
      <c r="DY8" s="43">
        <v>1434228854.77</v>
      </c>
      <c r="DZ8" s="43">
        <v>1434228854.77</v>
      </c>
      <c r="EA8" s="43">
        <v>0</v>
      </c>
      <c r="EB8" s="43">
        <v>0</v>
      </c>
      <c r="EC8" s="43">
        <v>1018491243.9699994</v>
      </c>
      <c r="ED8" s="43">
        <v>1018491243.9699994</v>
      </c>
      <c r="EE8" s="43">
        <v>0</v>
      </c>
      <c r="EF8" s="43">
        <v>0</v>
      </c>
      <c r="EG8" s="51"/>
      <c r="EH8" s="51"/>
      <c r="EI8" s="51"/>
    </row>
    <row r="9" spans="1:139" ht="12.75" customHeight="1">
      <c r="A9" s="40" t="s">
        <v>28</v>
      </c>
      <c r="B9" s="41">
        <v>1004</v>
      </c>
      <c r="C9" s="42" t="s">
        <v>415</v>
      </c>
      <c r="D9" s="43">
        <v>131531849074.10001</v>
      </c>
      <c r="E9" s="43">
        <v>82277733.120000005</v>
      </c>
      <c r="F9" s="43">
        <v>0</v>
      </c>
      <c r="G9" s="43">
        <v>114063329.87</v>
      </c>
      <c r="H9" s="43">
        <v>-31785596.5</v>
      </c>
      <c r="I9" s="43">
        <v>0</v>
      </c>
      <c r="J9" s="43">
        <v>0</v>
      </c>
      <c r="K9" s="43">
        <v>0</v>
      </c>
      <c r="L9" s="43">
        <v>0</v>
      </c>
      <c r="M9" s="43">
        <v>-0.25</v>
      </c>
      <c r="N9" s="43">
        <v>4781139937.7500038</v>
      </c>
      <c r="O9" s="43">
        <v>3888829690.5499992</v>
      </c>
      <c r="P9" s="43">
        <v>0</v>
      </c>
      <c r="Q9" s="43">
        <v>57680.480000000003</v>
      </c>
      <c r="R9" s="43">
        <v>0</v>
      </c>
      <c r="S9" s="43">
        <v>892252566.72000468</v>
      </c>
      <c r="T9" s="43">
        <v>0</v>
      </c>
      <c r="U9" s="43">
        <v>105581057.91</v>
      </c>
      <c r="V9" s="43">
        <v>152757.49</v>
      </c>
      <c r="W9" s="43">
        <v>0</v>
      </c>
      <c r="X9" s="43">
        <v>0</v>
      </c>
      <c r="Y9" s="43">
        <v>0</v>
      </c>
      <c r="Z9" s="43">
        <v>1243915.8700000001</v>
      </c>
      <c r="AA9" s="43">
        <v>104184384.55</v>
      </c>
      <c r="AB9" s="43">
        <v>937534840.41000009</v>
      </c>
      <c r="AC9" s="43">
        <v>0</v>
      </c>
      <c r="AD9" s="43">
        <v>433992263.06999999</v>
      </c>
      <c r="AE9" s="43">
        <v>503542577.34000009</v>
      </c>
      <c r="AF9" s="43">
        <v>0</v>
      </c>
      <c r="AG9" s="43">
        <v>117843572744.00002</v>
      </c>
      <c r="AH9" s="43">
        <v>68052669575.210007</v>
      </c>
      <c r="AI9" s="43">
        <v>4076785123.1499996</v>
      </c>
      <c r="AJ9" s="43">
        <v>0</v>
      </c>
      <c r="AK9" s="43">
        <v>43437296985.120003</v>
      </c>
      <c r="AL9" s="43">
        <v>2276821060.52</v>
      </c>
      <c r="AM9" s="43">
        <v>0</v>
      </c>
      <c r="AN9" s="43">
        <v>4815276273.0299988</v>
      </c>
      <c r="AO9" s="43">
        <v>984982354.62</v>
      </c>
      <c r="AP9" s="43">
        <v>118817884.23</v>
      </c>
      <c r="AQ9" s="43">
        <v>0</v>
      </c>
      <c r="AR9" s="43">
        <v>0</v>
      </c>
      <c r="AS9" s="43">
        <v>4437735823.6999998</v>
      </c>
      <c r="AT9" s="43">
        <v>-726259789.51999998</v>
      </c>
      <c r="AU9" s="43">
        <v>0</v>
      </c>
      <c r="AV9" s="43">
        <v>1618930350.51</v>
      </c>
      <c r="AW9" s="43">
        <v>0</v>
      </c>
      <c r="AX9" s="43">
        <v>0</v>
      </c>
      <c r="AY9" s="43">
        <v>1618930350.51</v>
      </c>
      <c r="AZ9" s="43">
        <v>1347536137.3700001</v>
      </c>
      <c r="BA9" s="43">
        <v>1347536137.3700001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1327909725.1100001</v>
      </c>
      <c r="BI9" s="43">
        <v>42263629.68</v>
      </c>
      <c r="BJ9" s="43">
        <v>0</v>
      </c>
      <c r="BK9" s="43">
        <v>56451491.399999999</v>
      </c>
      <c r="BL9" s="43">
        <v>-14187861.720000001</v>
      </c>
      <c r="BM9" s="43">
        <v>0</v>
      </c>
      <c r="BN9" s="43">
        <v>0</v>
      </c>
      <c r="BO9" s="43">
        <v>0</v>
      </c>
      <c r="BP9" s="43">
        <v>0</v>
      </c>
      <c r="BQ9" s="43">
        <v>0</v>
      </c>
      <c r="BR9" s="43">
        <v>0</v>
      </c>
      <c r="BS9" s="43">
        <v>0</v>
      </c>
      <c r="BT9" s="43">
        <v>0</v>
      </c>
      <c r="BU9" s="43">
        <v>0</v>
      </c>
      <c r="BV9" s="43">
        <v>0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43">
        <v>0</v>
      </c>
      <c r="CC9" s="43">
        <v>0</v>
      </c>
      <c r="CD9" s="43">
        <v>0</v>
      </c>
      <c r="CE9" s="43">
        <v>369600218.87</v>
      </c>
      <c r="CF9" s="43">
        <v>369600218.98000002</v>
      </c>
      <c r="CG9" s="43">
        <v>-0.11</v>
      </c>
      <c r="CH9" s="43">
        <v>0</v>
      </c>
      <c r="CI9" s="43">
        <v>0</v>
      </c>
      <c r="CJ9" s="43">
        <v>651437958.04000008</v>
      </c>
      <c r="CK9" s="43">
        <v>0</v>
      </c>
      <c r="CL9" s="43">
        <v>0</v>
      </c>
      <c r="CM9" s="43">
        <v>0</v>
      </c>
      <c r="CN9" s="43">
        <v>0</v>
      </c>
      <c r="CO9" s="43">
        <v>0</v>
      </c>
      <c r="CP9" s="43">
        <v>651437958.04000008</v>
      </c>
      <c r="CQ9" s="43">
        <v>0</v>
      </c>
      <c r="CR9" s="43">
        <v>0</v>
      </c>
      <c r="CS9" s="43">
        <v>0</v>
      </c>
      <c r="CT9" s="43">
        <v>0</v>
      </c>
      <c r="CU9" s="43">
        <v>264607918.51999998</v>
      </c>
      <c r="CV9" s="43">
        <v>264607918.51999998</v>
      </c>
      <c r="CW9" s="43">
        <v>0</v>
      </c>
      <c r="CX9" s="43">
        <v>0</v>
      </c>
      <c r="CY9" s="43">
        <v>0</v>
      </c>
      <c r="CZ9" s="43">
        <v>0</v>
      </c>
      <c r="DA9" s="43">
        <v>0</v>
      </c>
      <c r="DB9" s="43">
        <v>0</v>
      </c>
      <c r="DC9" s="43">
        <v>0</v>
      </c>
      <c r="DD9" s="43">
        <v>0</v>
      </c>
      <c r="DE9" s="43">
        <v>63650933884.780045</v>
      </c>
      <c r="DF9" s="43">
        <v>647642916.24000001</v>
      </c>
      <c r="DG9" s="43">
        <v>529147564</v>
      </c>
      <c r="DH9" s="43">
        <v>0</v>
      </c>
      <c r="DI9" s="43">
        <v>118495352.23999999</v>
      </c>
      <c r="DJ9" s="43">
        <v>0</v>
      </c>
      <c r="DK9" s="43">
        <v>0</v>
      </c>
      <c r="DL9" s="43">
        <v>835013704.54999995</v>
      </c>
      <c r="DM9" s="43">
        <v>0</v>
      </c>
      <c r="DN9" s="43">
        <v>0</v>
      </c>
      <c r="DO9" s="43">
        <v>0</v>
      </c>
      <c r="DP9" s="43">
        <v>0</v>
      </c>
      <c r="DQ9" s="43">
        <v>835013704.54999995</v>
      </c>
      <c r="DR9" s="43">
        <v>50811094605.300003</v>
      </c>
      <c r="DS9" s="43">
        <v>623880559.24000001</v>
      </c>
      <c r="DT9" s="43">
        <v>0</v>
      </c>
      <c r="DU9" s="43">
        <v>34556526584.160004</v>
      </c>
      <c r="DV9" s="43">
        <v>0</v>
      </c>
      <c r="DW9" s="43">
        <v>15628099219.4</v>
      </c>
      <c r="DX9" s="43">
        <v>2588242.5</v>
      </c>
      <c r="DY9" s="43">
        <v>220496401.25999999</v>
      </c>
      <c r="DZ9" s="43">
        <v>220496401.25999999</v>
      </c>
      <c r="EA9" s="43">
        <v>0</v>
      </c>
      <c r="EB9" s="43">
        <v>0</v>
      </c>
      <c r="EC9" s="43">
        <v>11136686257.430035</v>
      </c>
      <c r="ED9" s="43">
        <v>11136686257.430035</v>
      </c>
      <c r="EE9" s="43">
        <v>0</v>
      </c>
      <c r="EF9" s="43">
        <v>0</v>
      </c>
      <c r="EG9" s="51"/>
      <c r="EH9" s="51"/>
      <c r="EI9" s="51"/>
    </row>
    <row r="10" spans="1:139" ht="12.75" customHeight="1">
      <c r="A10" s="40" t="s">
        <v>31</v>
      </c>
      <c r="B10" s="41">
        <v>1005</v>
      </c>
      <c r="C10" s="42" t="s">
        <v>415</v>
      </c>
      <c r="D10" s="43">
        <v>102221003788.79915</v>
      </c>
      <c r="E10" s="43">
        <v>81489648.600001007</v>
      </c>
      <c r="F10" s="43">
        <v>0</v>
      </c>
      <c r="G10" s="43">
        <v>30054188.140000001</v>
      </c>
      <c r="H10" s="43">
        <v>-0.04</v>
      </c>
      <c r="I10" s="43">
        <v>0</v>
      </c>
      <c r="J10" s="43">
        <v>0</v>
      </c>
      <c r="K10" s="43">
        <v>0</v>
      </c>
      <c r="L10" s="43">
        <v>0</v>
      </c>
      <c r="M10" s="43">
        <v>51435460.500000998</v>
      </c>
      <c r="N10" s="43">
        <v>14703001499.069996</v>
      </c>
      <c r="O10" s="43">
        <v>10703160961.229986</v>
      </c>
      <c r="P10" s="43">
        <v>442458733.51999998</v>
      </c>
      <c r="Q10" s="43">
        <v>240140429.13</v>
      </c>
      <c r="R10" s="43">
        <v>0</v>
      </c>
      <c r="S10" s="43">
        <v>3318932092.830009</v>
      </c>
      <c r="T10" s="43">
        <v>-1690717.64</v>
      </c>
      <c r="U10" s="43">
        <v>2747374.8099999996</v>
      </c>
      <c r="V10" s="43">
        <v>389898.73</v>
      </c>
      <c r="W10" s="43">
        <v>0</v>
      </c>
      <c r="X10" s="43">
        <v>0</v>
      </c>
      <c r="Y10" s="43">
        <v>0</v>
      </c>
      <c r="Z10" s="43">
        <v>2357476.3199999998</v>
      </c>
      <c r="AA10" s="43">
        <v>-0.24</v>
      </c>
      <c r="AB10" s="43">
        <v>1329649255.899617</v>
      </c>
      <c r="AC10" s="43">
        <v>61696195.32</v>
      </c>
      <c r="AD10" s="43">
        <v>276095440.73000002</v>
      </c>
      <c r="AE10" s="43">
        <v>1013169751.379617</v>
      </c>
      <c r="AF10" s="43">
        <v>-21312131.530000001</v>
      </c>
      <c r="AG10" s="43">
        <v>82395051067.389496</v>
      </c>
      <c r="AH10" s="43">
        <v>45048860263.739502</v>
      </c>
      <c r="AI10" s="43">
        <v>1154117914.8900001</v>
      </c>
      <c r="AJ10" s="43">
        <v>0</v>
      </c>
      <c r="AK10" s="43">
        <v>36192072888.759987</v>
      </c>
      <c r="AL10" s="43">
        <v>0</v>
      </c>
      <c r="AM10" s="43">
        <v>0</v>
      </c>
      <c r="AN10" s="43">
        <v>1202244526.7400699</v>
      </c>
      <c r="AO10" s="43">
        <v>592074612.01006806</v>
      </c>
      <c r="AP10" s="43">
        <v>199528184.67000201</v>
      </c>
      <c r="AQ10" s="43">
        <v>0</v>
      </c>
      <c r="AR10" s="43">
        <v>0</v>
      </c>
      <c r="AS10" s="43">
        <v>1556943391</v>
      </c>
      <c r="AT10" s="43">
        <v>-1146301660.9400001</v>
      </c>
      <c r="AU10" s="43">
        <v>0</v>
      </c>
      <c r="AV10" s="43">
        <v>0</v>
      </c>
      <c r="AW10" s="43">
        <v>0</v>
      </c>
      <c r="AX10" s="43">
        <v>0</v>
      </c>
      <c r="AY10" s="43">
        <v>0</v>
      </c>
      <c r="AZ10" s="43">
        <v>2376666004.5299888</v>
      </c>
      <c r="BA10" s="43">
        <v>1273014552.2999959</v>
      </c>
      <c r="BB10" s="43">
        <v>1102829283.049993</v>
      </c>
      <c r="BC10" s="43">
        <v>822169.18</v>
      </c>
      <c r="BD10" s="43">
        <v>130154411.76000001</v>
      </c>
      <c r="BE10" s="43">
        <v>0</v>
      </c>
      <c r="BF10" s="43">
        <v>0</v>
      </c>
      <c r="BG10" s="43">
        <v>130154411.76000001</v>
      </c>
      <c r="BH10" s="43">
        <v>2999495580.9900002</v>
      </c>
      <c r="BI10" s="43">
        <v>135414800.56999999</v>
      </c>
      <c r="BJ10" s="43">
        <v>0</v>
      </c>
      <c r="BK10" s="43">
        <v>135414800.56999999</v>
      </c>
      <c r="BL10" s="43">
        <v>0</v>
      </c>
      <c r="BM10" s="43">
        <v>0</v>
      </c>
      <c r="BN10" s="43">
        <v>0</v>
      </c>
      <c r="BO10" s="43">
        <v>0</v>
      </c>
      <c r="BP10" s="43">
        <v>0</v>
      </c>
      <c r="BQ10" s="43">
        <v>0</v>
      </c>
      <c r="BR10" s="43">
        <v>0</v>
      </c>
      <c r="BS10" s="43">
        <v>0</v>
      </c>
      <c r="BT10" s="43">
        <v>0</v>
      </c>
      <c r="BU10" s="43">
        <v>0</v>
      </c>
      <c r="BV10" s="43">
        <v>0</v>
      </c>
      <c r="BW10" s="43">
        <v>0</v>
      </c>
      <c r="BX10" s="43">
        <v>0</v>
      </c>
      <c r="BY10" s="43">
        <v>0</v>
      </c>
      <c r="BZ10" s="43">
        <v>0</v>
      </c>
      <c r="CA10" s="43">
        <v>0</v>
      </c>
      <c r="CB10" s="43">
        <v>0</v>
      </c>
      <c r="CC10" s="43">
        <v>0</v>
      </c>
      <c r="CD10" s="43">
        <v>0</v>
      </c>
      <c r="CE10" s="43">
        <v>0</v>
      </c>
      <c r="CF10" s="43">
        <v>0</v>
      </c>
      <c r="CG10" s="43">
        <v>0</v>
      </c>
      <c r="CH10" s="43">
        <v>0</v>
      </c>
      <c r="CI10" s="43">
        <v>0</v>
      </c>
      <c r="CJ10" s="43">
        <v>2416774566.5</v>
      </c>
      <c r="CK10" s="43">
        <v>2595180.3199999998</v>
      </c>
      <c r="CL10" s="43">
        <v>0</v>
      </c>
      <c r="CM10" s="43">
        <v>0</v>
      </c>
      <c r="CN10" s="43">
        <v>0</v>
      </c>
      <c r="CO10" s="43">
        <v>0</v>
      </c>
      <c r="CP10" s="43">
        <v>2414179386.1799998</v>
      </c>
      <c r="CQ10" s="43">
        <v>0</v>
      </c>
      <c r="CR10" s="43">
        <v>0</v>
      </c>
      <c r="CS10" s="43">
        <v>0</v>
      </c>
      <c r="CT10" s="43">
        <v>0</v>
      </c>
      <c r="CU10" s="43">
        <v>447306213.92000002</v>
      </c>
      <c r="CV10" s="43">
        <v>447306213.92000002</v>
      </c>
      <c r="CW10" s="43">
        <v>0</v>
      </c>
      <c r="CX10" s="43">
        <v>0</v>
      </c>
      <c r="CY10" s="43">
        <v>0</v>
      </c>
      <c r="CZ10" s="43">
        <v>0</v>
      </c>
      <c r="DA10" s="43">
        <v>0</v>
      </c>
      <c r="DB10" s="43">
        <v>0</v>
      </c>
      <c r="DC10" s="43">
        <v>0</v>
      </c>
      <c r="DD10" s="43">
        <v>0</v>
      </c>
      <c r="DE10" s="43">
        <v>46113562092.670868</v>
      </c>
      <c r="DF10" s="43">
        <v>2000000000</v>
      </c>
      <c r="DG10" s="43">
        <v>2000000000</v>
      </c>
      <c r="DH10" s="43">
        <v>0</v>
      </c>
      <c r="DI10" s="43">
        <v>0</v>
      </c>
      <c r="DJ10" s="43">
        <v>0</v>
      </c>
      <c r="DK10" s="43">
        <v>0</v>
      </c>
      <c r="DL10" s="43">
        <v>239479530.00999999</v>
      </c>
      <c r="DM10" s="43">
        <v>0</v>
      </c>
      <c r="DN10" s="43">
        <v>0</v>
      </c>
      <c r="DO10" s="43">
        <v>0</v>
      </c>
      <c r="DP10" s="43">
        <v>0</v>
      </c>
      <c r="DQ10" s="43">
        <v>239479530.00999999</v>
      </c>
      <c r="DR10" s="43">
        <v>36083021588.759995</v>
      </c>
      <c r="DS10" s="43">
        <v>748987743.75</v>
      </c>
      <c r="DT10" s="43">
        <v>2809662736.8400002</v>
      </c>
      <c r="DU10" s="43">
        <v>20753056533.239998</v>
      </c>
      <c r="DV10" s="43">
        <v>1163766868</v>
      </c>
      <c r="DW10" s="43">
        <v>10850807416.620001</v>
      </c>
      <c r="DX10" s="43">
        <v>-243259709.69</v>
      </c>
      <c r="DY10" s="43">
        <v>420355968.50999999</v>
      </c>
      <c r="DZ10" s="43">
        <v>420355968.50999999</v>
      </c>
      <c r="EA10" s="43">
        <v>0</v>
      </c>
      <c r="EB10" s="43">
        <v>0</v>
      </c>
      <c r="EC10" s="43">
        <v>7370705005.390871</v>
      </c>
      <c r="ED10" s="43">
        <v>7370705005.390871</v>
      </c>
      <c r="EE10" s="43">
        <v>0</v>
      </c>
      <c r="EF10" s="43">
        <v>0</v>
      </c>
      <c r="EG10" s="51"/>
      <c r="EH10" s="51"/>
      <c r="EI10" s="51"/>
    </row>
    <row r="11" spans="1:139" ht="12.75" customHeight="1">
      <c r="A11" s="40" t="s">
        <v>34</v>
      </c>
      <c r="B11" s="41">
        <v>1006</v>
      </c>
      <c r="C11" s="42" t="s">
        <v>415</v>
      </c>
      <c r="D11" s="43">
        <v>21771225902.820004</v>
      </c>
      <c r="E11" s="43">
        <v>394739.74</v>
      </c>
      <c r="F11" s="43">
        <v>0</v>
      </c>
      <c r="G11" s="43">
        <v>394739.74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233592823.78999999</v>
      </c>
      <c r="O11" s="43">
        <v>233592823.78999999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11676799.09</v>
      </c>
      <c r="V11" s="43">
        <v>0</v>
      </c>
      <c r="W11" s="43">
        <v>0</v>
      </c>
      <c r="X11" s="43">
        <v>0</v>
      </c>
      <c r="Y11" s="43">
        <v>0</v>
      </c>
      <c r="Z11" s="43">
        <v>-0.24</v>
      </c>
      <c r="AA11" s="43">
        <v>11676799.33</v>
      </c>
      <c r="AB11" s="43">
        <v>881742600.37000012</v>
      </c>
      <c r="AC11" s="43">
        <v>77560854.329999998</v>
      </c>
      <c r="AD11" s="43">
        <v>233237644.62</v>
      </c>
      <c r="AE11" s="43">
        <v>570944101.43000007</v>
      </c>
      <c r="AF11" s="43">
        <v>-0.01</v>
      </c>
      <c r="AG11" s="43">
        <v>19597011251.93</v>
      </c>
      <c r="AH11" s="43">
        <v>8150830358.8399992</v>
      </c>
      <c r="AI11" s="43">
        <v>1674405493.79</v>
      </c>
      <c r="AJ11" s="43">
        <v>0</v>
      </c>
      <c r="AK11" s="43">
        <v>9771775399.3000011</v>
      </c>
      <c r="AL11" s="43">
        <v>0</v>
      </c>
      <c r="AM11" s="43">
        <v>0</v>
      </c>
      <c r="AN11" s="43">
        <v>840156954.33000004</v>
      </c>
      <c r="AO11" s="43">
        <v>197127029.34</v>
      </c>
      <c r="AP11" s="43">
        <v>10172428.24</v>
      </c>
      <c r="AQ11" s="43">
        <v>0</v>
      </c>
      <c r="AR11" s="43">
        <v>0</v>
      </c>
      <c r="AS11" s="43">
        <v>632857496.75</v>
      </c>
      <c r="AT11" s="43">
        <v>0</v>
      </c>
      <c r="AU11" s="43">
        <v>0</v>
      </c>
      <c r="AV11" s="43">
        <v>39640739.350000001</v>
      </c>
      <c r="AW11" s="43">
        <v>0</v>
      </c>
      <c r="AX11" s="43">
        <v>0</v>
      </c>
      <c r="AY11" s="43">
        <v>39640739.350000001</v>
      </c>
      <c r="AZ11" s="43">
        <v>167009994.22</v>
      </c>
      <c r="BA11" s="43">
        <v>167009994.22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247785961.03000003</v>
      </c>
      <c r="BI11" s="43">
        <v>854245.28</v>
      </c>
      <c r="BJ11" s="43">
        <v>0</v>
      </c>
      <c r="BK11" s="43">
        <v>854245.28</v>
      </c>
      <c r="BL11" s="43">
        <v>0</v>
      </c>
      <c r="BM11" s="43">
        <v>0</v>
      </c>
      <c r="BN11" s="43">
        <v>0</v>
      </c>
      <c r="BO11" s="43">
        <v>0</v>
      </c>
      <c r="BP11" s="43">
        <v>0</v>
      </c>
      <c r="BQ11" s="43">
        <v>0</v>
      </c>
      <c r="BR11" s="43">
        <v>0</v>
      </c>
      <c r="BS11" s="43">
        <v>0</v>
      </c>
      <c r="BT11" s="43">
        <v>0</v>
      </c>
      <c r="BU11" s="43">
        <v>0</v>
      </c>
      <c r="BV11" s="43">
        <v>0</v>
      </c>
      <c r="BW11" s="43">
        <v>0</v>
      </c>
      <c r="BX11" s="43">
        <v>0</v>
      </c>
      <c r="BY11" s="43">
        <v>0</v>
      </c>
      <c r="BZ11" s="43">
        <v>0</v>
      </c>
      <c r="CA11" s="43">
        <v>0</v>
      </c>
      <c r="CB11" s="43">
        <v>0</v>
      </c>
      <c r="CC11" s="43">
        <v>0</v>
      </c>
      <c r="CD11" s="43">
        <v>0</v>
      </c>
      <c r="CE11" s="43">
        <v>0</v>
      </c>
      <c r="CF11" s="43">
        <v>0</v>
      </c>
      <c r="CG11" s="43">
        <v>0</v>
      </c>
      <c r="CH11" s="43">
        <v>0</v>
      </c>
      <c r="CI11" s="43">
        <v>0</v>
      </c>
      <c r="CJ11" s="43">
        <v>29320620.329999998</v>
      </c>
      <c r="CK11" s="43">
        <v>0</v>
      </c>
      <c r="CL11" s="43">
        <v>0</v>
      </c>
      <c r="CM11" s="43">
        <v>0</v>
      </c>
      <c r="CN11" s="43">
        <v>0</v>
      </c>
      <c r="CO11" s="43">
        <v>0</v>
      </c>
      <c r="CP11" s="43">
        <v>29320620.329999998</v>
      </c>
      <c r="CQ11" s="43">
        <v>0</v>
      </c>
      <c r="CR11" s="43">
        <v>0</v>
      </c>
      <c r="CS11" s="43">
        <v>0</v>
      </c>
      <c r="CT11" s="43">
        <v>0</v>
      </c>
      <c r="CU11" s="43">
        <v>12684073.060000001</v>
      </c>
      <c r="CV11" s="43">
        <v>12684073.060000001</v>
      </c>
      <c r="CW11" s="43">
        <v>0</v>
      </c>
      <c r="CX11" s="43">
        <v>0</v>
      </c>
      <c r="CY11" s="43">
        <v>0</v>
      </c>
      <c r="CZ11" s="43">
        <v>0</v>
      </c>
      <c r="DA11" s="43">
        <v>0</v>
      </c>
      <c r="DB11" s="43">
        <v>204927022.36000001</v>
      </c>
      <c r="DC11" s="43">
        <v>0</v>
      </c>
      <c r="DD11" s="43">
        <v>204927022.36000001</v>
      </c>
      <c r="DE11" s="43">
        <v>7773033529.1700001</v>
      </c>
      <c r="DF11" s="43">
        <v>350000000</v>
      </c>
      <c r="DG11" s="43">
        <v>350000000</v>
      </c>
      <c r="DH11" s="43">
        <v>0</v>
      </c>
      <c r="DI11" s="43">
        <v>0</v>
      </c>
      <c r="DJ11" s="43">
        <v>0</v>
      </c>
      <c r="DK11" s="43">
        <v>0</v>
      </c>
      <c r="DL11" s="43">
        <v>478495750.67000002</v>
      </c>
      <c r="DM11" s="43">
        <v>0</v>
      </c>
      <c r="DN11" s="43">
        <v>0</v>
      </c>
      <c r="DO11" s="43">
        <v>0</v>
      </c>
      <c r="DP11" s="43">
        <v>0</v>
      </c>
      <c r="DQ11" s="43">
        <v>478495750.67000002</v>
      </c>
      <c r="DR11" s="43">
        <v>206160420.36999997</v>
      </c>
      <c r="DS11" s="43">
        <v>94100536.870000005</v>
      </c>
      <c r="DT11" s="43">
        <v>104519289.09999999</v>
      </c>
      <c r="DU11" s="43">
        <v>0</v>
      </c>
      <c r="DV11" s="43">
        <v>1810030.7</v>
      </c>
      <c r="DW11" s="43">
        <v>0</v>
      </c>
      <c r="DX11" s="43">
        <v>5730563.7000000002</v>
      </c>
      <c r="DY11" s="43">
        <v>5416591632.2399998</v>
      </c>
      <c r="DZ11" s="43">
        <v>5416591632.2399998</v>
      </c>
      <c r="EA11" s="43">
        <v>0</v>
      </c>
      <c r="EB11" s="43">
        <v>0</v>
      </c>
      <c r="EC11" s="43">
        <v>1321785725.8900001</v>
      </c>
      <c r="ED11" s="43">
        <v>1321785725.8900001</v>
      </c>
      <c r="EE11" s="43">
        <v>0</v>
      </c>
      <c r="EF11" s="43">
        <v>0</v>
      </c>
      <c r="EG11" s="51"/>
      <c r="EH11" s="51"/>
      <c r="EI11" s="51"/>
    </row>
    <row r="12" spans="1:139" ht="12.75" customHeight="1">
      <c r="A12" s="40" t="s">
        <v>37</v>
      </c>
      <c r="B12" s="41">
        <v>1007</v>
      </c>
      <c r="C12" s="42" t="s">
        <v>415</v>
      </c>
      <c r="D12" s="43">
        <v>1059581279.76</v>
      </c>
      <c r="E12" s="43">
        <v>5974674.2199999997</v>
      </c>
      <c r="F12" s="43">
        <v>0</v>
      </c>
      <c r="G12" s="43">
        <v>8125591.9299999997</v>
      </c>
      <c r="H12" s="43">
        <v>-2150917.71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108714050.55000001</v>
      </c>
      <c r="O12" s="43">
        <v>108714050.55000001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213322462.00999999</v>
      </c>
      <c r="V12" s="43">
        <v>22549423.68</v>
      </c>
      <c r="W12" s="43">
        <v>0</v>
      </c>
      <c r="X12" s="43">
        <v>0</v>
      </c>
      <c r="Y12" s="43">
        <v>0</v>
      </c>
      <c r="Z12" s="43">
        <v>0</v>
      </c>
      <c r="AA12" s="43">
        <v>190773038.32999998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615223852.49000001</v>
      </c>
      <c r="AH12" s="43">
        <v>303250254.82000005</v>
      </c>
      <c r="AI12" s="43">
        <v>0</v>
      </c>
      <c r="AJ12" s="43">
        <v>0</v>
      </c>
      <c r="AK12" s="43">
        <v>208646721.76999995</v>
      </c>
      <c r="AL12" s="43">
        <v>103326875.89999999</v>
      </c>
      <c r="AM12" s="43">
        <v>0</v>
      </c>
      <c r="AN12" s="43">
        <v>18580161.280000009</v>
      </c>
      <c r="AO12" s="43">
        <v>0</v>
      </c>
      <c r="AP12" s="43">
        <v>2841423.7600000002</v>
      </c>
      <c r="AQ12" s="43">
        <v>0</v>
      </c>
      <c r="AR12" s="43">
        <v>12864229.570000008</v>
      </c>
      <c r="AS12" s="43">
        <v>2874507.9499999993</v>
      </c>
      <c r="AT12" s="43">
        <v>0</v>
      </c>
      <c r="AU12" s="43">
        <v>0</v>
      </c>
      <c r="AV12" s="43">
        <v>4824249.1600000011</v>
      </c>
      <c r="AW12" s="43">
        <v>0</v>
      </c>
      <c r="AX12" s="43">
        <v>0</v>
      </c>
      <c r="AY12" s="43">
        <v>4824249.1600000011</v>
      </c>
      <c r="AZ12" s="43">
        <v>81980081.609999999</v>
      </c>
      <c r="BA12" s="43">
        <v>69243506.780000001</v>
      </c>
      <c r="BB12" s="43">
        <v>12736574.83</v>
      </c>
      <c r="BC12" s="43">
        <v>0</v>
      </c>
      <c r="BD12" s="43">
        <v>10961748.440000001</v>
      </c>
      <c r="BE12" s="43">
        <v>0</v>
      </c>
      <c r="BF12" s="43">
        <v>0</v>
      </c>
      <c r="BG12" s="43">
        <v>10961748.440000001</v>
      </c>
      <c r="BH12" s="43">
        <v>384126241.89999998</v>
      </c>
      <c r="BI12" s="43">
        <v>24477157.449999999</v>
      </c>
      <c r="BJ12" s="43">
        <v>0</v>
      </c>
      <c r="BK12" s="43">
        <v>27051832.789999999</v>
      </c>
      <c r="BL12" s="43">
        <v>-2574675.34</v>
      </c>
      <c r="BM12" s="43">
        <v>0</v>
      </c>
      <c r="BN12" s="43">
        <v>0</v>
      </c>
      <c r="BO12" s="43">
        <v>0</v>
      </c>
      <c r="BP12" s="43">
        <v>0</v>
      </c>
      <c r="BQ12" s="43">
        <v>91266902.600000009</v>
      </c>
      <c r="BR12" s="43">
        <v>91266902.600000009</v>
      </c>
      <c r="BS12" s="43">
        <v>0</v>
      </c>
      <c r="BT12" s="43">
        <v>0</v>
      </c>
      <c r="BU12" s="43">
        <v>0</v>
      </c>
      <c r="BV12" s="43">
        <v>0</v>
      </c>
      <c r="BW12" s="43">
        <v>0</v>
      </c>
      <c r="BX12" s="43">
        <v>2833612.98</v>
      </c>
      <c r="BY12" s="43">
        <v>2833612.98</v>
      </c>
      <c r="BZ12" s="43">
        <v>0</v>
      </c>
      <c r="CA12" s="43">
        <v>0</v>
      </c>
      <c r="CB12" s="43">
        <v>0</v>
      </c>
      <c r="CC12" s="43">
        <v>0</v>
      </c>
      <c r="CD12" s="43">
        <v>0</v>
      </c>
      <c r="CE12" s="43">
        <v>0</v>
      </c>
      <c r="CF12" s="43">
        <v>0</v>
      </c>
      <c r="CG12" s="43">
        <v>0</v>
      </c>
      <c r="CH12" s="43">
        <v>0</v>
      </c>
      <c r="CI12" s="43">
        <v>0</v>
      </c>
      <c r="CJ12" s="43">
        <v>240405747.91</v>
      </c>
      <c r="CK12" s="43">
        <v>51353992.629999995</v>
      </c>
      <c r="CL12" s="43">
        <v>0</v>
      </c>
      <c r="CM12" s="43">
        <v>0</v>
      </c>
      <c r="CN12" s="43">
        <v>0</v>
      </c>
      <c r="CO12" s="43">
        <v>0</v>
      </c>
      <c r="CP12" s="43">
        <v>189051755.28</v>
      </c>
      <c r="CQ12" s="43">
        <v>0</v>
      </c>
      <c r="CR12" s="43">
        <v>0</v>
      </c>
      <c r="CS12" s="43">
        <v>0</v>
      </c>
      <c r="CT12" s="43">
        <v>0</v>
      </c>
      <c r="CU12" s="43">
        <v>8710899.4699999988</v>
      </c>
      <c r="CV12" s="43">
        <v>8710899.4699999988</v>
      </c>
      <c r="CW12" s="43">
        <v>0</v>
      </c>
      <c r="CX12" s="43">
        <v>17223971.240000002</v>
      </c>
      <c r="CY12" s="43">
        <v>17223971.240000002</v>
      </c>
      <c r="CZ12" s="43">
        <v>0</v>
      </c>
      <c r="DA12" s="43">
        <v>0</v>
      </c>
      <c r="DB12" s="43">
        <v>-792049.75</v>
      </c>
      <c r="DC12" s="43">
        <v>-792049.75</v>
      </c>
      <c r="DD12" s="43">
        <v>0</v>
      </c>
      <c r="DE12" s="43">
        <v>249037830.26999986</v>
      </c>
      <c r="DF12" s="43">
        <v>29255114.929999992</v>
      </c>
      <c r="DG12" s="43">
        <v>29255114.929999992</v>
      </c>
      <c r="DH12" s="43">
        <v>0</v>
      </c>
      <c r="DI12" s="43">
        <v>0</v>
      </c>
      <c r="DJ12" s="43">
        <v>0</v>
      </c>
      <c r="DK12" s="43">
        <v>0</v>
      </c>
      <c r="DL12" s="43">
        <v>-1.862645149230957E-8</v>
      </c>
      <c r="DM12" s="43">
        <v>0</v>
      </c>
      <c r="DN12" s="43">
        <v>0</v>
      </c>
      <c r="DO12" s="43">
        <v>0</v>
      </c>
      <c r="DP12" s="43">
        <v>0</v>
      </c>
      <c r="DQ12" s="43">
        <v>-1.862645149230957E-8</v>
      </c>
      <c r="DR12" s="43">
        <v>4002906.9299999997</v>
      </c>
      <c r="DS12" s="43">
        <v>5851023</v>
      </c>
      <c r="DT12" s="43">
        <v>0</v>
      </c>
      <c r="DU12" s="43">
        <v>0</v>
      </c>
      <c r="DV12" s="43">
        <v>-1848116.0700000003</v>
      </c>
      <c r="DW12" s="43">
        <v>0</v>
      </c>
      <c r="DX12" s="43">
        <v>0</v>
      </c>
      <c r="DY12" s="43">
        <v>176590185.58000001</v>
      </c>
      <c r="DZ12" s="43">
        <v>176590185.58000001</v>
      </c>
      <c r="EA12" s="43">
        <v>-45230425.590000004</v>
      </c>
      <c r="EB12" s="43">
        <v>-45230425.590000004</v>
      </c>
      <c r="EC12" s="43">
        <v>84420048.419999883</v>
      </c>
      <c r="ED12" s="43">
        <v>84420048.419999883</v>
      </c>
      <c r="EE12" s="43">
        <v>0</v>
      </c>
      <c r="EF12" s="43">
        <v>0</v>
      </c>
      <c r="EG12" s="51"/>
      <c r="EH12" s="51"/>
      <c r="EI12" s="51"/>
    </row>
    <row r="13" spans="1:139" ht="12.75" customHeight="1">
      <c r="A13" s="40" t="s">
        <v>40</v>
      </c>
      <c r="B13" s="41">
        <v>1008</v>
      </c>
      <c r="C13" s="42" t="s">
        <v>415</v>
      </c>
      <c r="D13" s="43">
        <v>24631316353.235809</v>
      </c>
      <c r="E13" s="43">
        <v>52785058.109999999</v>
      </c>
      <c r="F13" s="43">
        <v>113.93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52784944.18</v>
      </c>
      <c r="N13" s="43">
        <v>663334040.68999994</v>
      </c>
      <c r="O13" s="43">
        <v>660270444</v>
      </c>
      <c r="P13" s="43">
        <v>0</v>
      </c>
      <c r="Q13" s="43">
        <v>0</v>
      </c>
      <c r="R13" s="43">
        <v>0</v>
      </c>
      <c r="S13" s="43">
        <v>3109851.41</v>
      </c>
      <c r="T13" s="43">
        <v>-46254.720000000001</v>
      </c>
      <c r="U13" s="43">
        <v>111083.36</v>
      </c>
      <c r="V13" s="43">
        <v>0</v>
      </c>
      <c r="W13" s="43">
        <v>0</v>
      </c>
      <c r="X13" s="43">
        <v>0</v>
      </c>
      <c r="Y13" s="43">
        <v>0</v>
      </c>
      <c r="Z13" s="43">
        <v>111083.36</v>
      </c>
      <c r="AA13" s="43">
        <v>0</v>
      </c>
      <c r="AB13" s="43">
        <v>423199186.25999999</v>
      </c>
      <c r="AC13" s="43">
        <v>36785012.18</v>
      </c>
      <c r="AD13" s="43">
        <v>307031211.64999998</v>
      </c>
      <c r="AE13" s="43">
        <v>102454711.75</v>
      </c>
      <c r="AF13" s="43">
        <v>-23071749.32</v>
      </c>
      <c r="AG13" s="43">
        <v>22016438489.805809</v>
      </c>
      <c r="AH13" s="43">
        <v>11541979486.5</v>
      </c>
      <c r="AI13" s="43">
        <v>0</v>
      </c>
      <c r="AJ13" s="43">
        <v>0</v>
      </c>
      <c r="AK13" s="43">
        <v>10474459003.305809</v>
      </c>
      <c r="AL13" s="43">
        <v>0</v>
      </c>
      <c r="AM13" s="43">
        <v>0</v>
      </c>
      <c r="AN13" s="43">
        <v>293651368.53000003</v>
      </c>
      <c r="AO13" s="43">
        <v>265561814.99000001</v>
      </c>
      <c r="AP13" s="43">
        <v>28089553.539999999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991023742.38</v>
      </c>
      <c r="AW13" s="43">
        <v>0</v>
      </c>
      <c r="AX13" s="43">
        <v>0</v>
      </c>
      <c r="AY13" s="43">
        <v>991023742.38</v>
      </c>
      <c r="AZ13" s="43">
        <v>190771989.78999999</v>
      </c>
      <c r="BA13" s="43">
        <v>190771989.78999999</v>
      </c>
      <c r="BB13" s="43">
        <v>0</v>
      </c>
      <c r="BC13" s="43">
        <v>0</v>
      </c>
      <c r="BD13" s="43">
        <v>1394.31</v>
      </c>
      <c r="BE13" s="43">
        <v>0</v>
      </c>
      <c r="BF13" s="43">
        <v>0</v>
      </c>
      <c r="BG13" s="43">
        <v>1394.31</v>
      </c>
      <c r="BH13" s="43">
        <v>2187298933.0541897</v>
      </c>
      <c r="BI13" s="43">
        <v>118396215.66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118396215.66</v>
      </c>
      <c r="BQ13" s="43">
        <v>0</v>
      </c>
      <c r="BR13" s="43">
        <v>0</v>
      </c>
      <c r="BS13" s="43">
        <v>0</v>
      </c>
      <c r="BT13" s="43">
        <v>0</v>
      </c>
      <c r="BU13" s="43">
        <v>0</v>
      </c>
      <c r="BV13" s="43">
        <v>0</v>
      </c>
      <c r="BW13" s="43">
        <v>0</v>
      </c>
      <c r="BX13" s="43">
        <v>0</v>
      </c>
      <c r="BY13" s="43">
        <v>0</v>
      </c>
      <c r="BZ13" s="43">
        <v>0</v>
      </c>
      <c r="CA13" s="43">
        <v>0</v>
      </c>
      <c r="CB13" s="43">
        <v>0</v>
      </c>
      <c r="CC13" s="43">
        <v>0</v>
      </c>
      <c r="CD13" s="43">
        <v>0</v>
      </c>
      <c r="CE13" s="43">
        <v>0</v>
      </c>
      <c r="CF13" s="43">
        <v>0</v>
      </c>
      <c r="CG13" s="43">
        <v>0</v>
      </c>
      <c r="CH13" s="43">
        <v>0</v>
      </c>
      <c r="CI13" s="43">
        <v>0</v>
      </c>
      <c r="CJ13" s="43">
        <v>2048140943.7741899</v>
      </c>
      <c r="CK13" s="43">
        <v>0</v>
      </c>
      <c r="CL13" s="43">
        <v>0</v>
      </c>
      <c r="CM13" s="43">
        <v>211532.03</v>
      </c>
      <c r="CN13" s="43">
        <v>1769031689.8841901</v>
      </c>
      <c r="CO13" s="43">
        <v>0</v>
      </c>
      <c r="CP13" s="43">
        <v>278897721.86000001</v>
      </c>
      <c r="CQ13" s="43">
        <v>0</v>
      </c>
      <c r="CR13" s="43">
        <v>0</v>
      </c>
      <c r="CS13" s="43">
        <v>0</v>
      </c>
      <c r="CT13" s="43">
        <v>0</v>
      </c>
      <c r="CU13" s="43">
        <v>20761773.620000001</v>
      </c>
      <c r="CV13" s="43">
        <v>20761773.620000001</v>
      </c>
      <c r="CW13" s="43">
        <v>0</v>
      </c>
      <c r="CX13" s="43">
        <v>0</v>
      </c>
      <c r="CY13" s="43">
        <v>0</v>
      </c>
      <c r="CZ13" s="43">
        <v>0</v>
      </c>
      <c r="DA13" s="43">
        <v>0</v>
      </c>
      <c r="DB13" s="43">
        <v>0</v>
      </c>
      <c r="DC13" s="43">
        <v>0</v>
      </c>
      <c r="DD13" s="43">
        <v>0</v>
      </c>
      <c r="DE13" s="43">
        <v>6023424598.7999992</v>
      </c>
      <c r="DF13" s="43">
        <v>270500000</v>
      </c>
      <c r="DG13" s="43">
        <v>270500000</v>
      </c>
      <c r="DH13" s="43">
        <v>0</v>
      </c>
      <c r="DI13" s="43">
        <v>0</v>
      </c>
      <c r="DJ13" s="43">
        <v>0</v>
      </c>
      <c r="DK13" s="43">
        <v>0</v>
      </c>
      <c r="DL13" s="43">
        <v>72328017.939999998</v>
      </c>
      <c r="DM13" s="43">
        <v>0</v>
      </c>
      <c r="DN13" s="43">
        <v>0</v>
      </c>
      <c r="DO13" s="43">
        <v>0</v>
      </c>
      <c r="DP13" s="43">
        <v>0</v>
      </c>
      <c r="DQ13" s="43">
        <v>72328017.939999998</v>
      </c>
      <c r="DR13" s="43">
        <v>766285963.62</v>
      </c>
      <c r="DS13" s="43">
        <v>54100000</v>
      </c>
      <c r="DT13" s="43">
        <v>0</v>
      </c>
      <c r="DU13" s="43">
        <v>0</v>
      </c>
      <c r="DV13" s="43">
        <v>703482128.60000002</v>
      </c>
      <c r="DW13" s="43">
        <v>10042179.869999999</v>
      </c>
      <c r="DX13" s="43">
        <v>-1338344.8500000001</v>
      </c>
      <c r="DY13" s="43">
        <v>3802718695.1599998</v>
      </c>
      <c r="DZ13" s="43">
        <v>3802718695.1599998</v>
      </c>
      <c r="EA13" s="43">
        <v>0</v>
      </c>
      <c r="EB13" s="43">
        <v>0</v>
      </c>
      <c r="EC13" s="43">
        <v>1111591922.0800002</v>
      </c>
      <c r="ED13" s="43">
        <v>1111591922.0800002</v>
      </c>
      <c r="EE13" s="43">
        <v>0</v>
      </c>
      <c r="EF13" s="43">
        <v>0</v>
      </c>
      <c r="EG13" s="51"/>
      <c r="EH13" s="51"/>
      <c r="EI13" s="51"/>
    </row>
    <row r="14" spans="1:139" ht="12.75" customHeight="1">
      <c r="A14" s="40" t="s">
        <v>43</v>
      </c>
      <c r="B14" s="41">
        <v>1009</v>
      </c>
      <c r="C14" s="42" t="s">
        <v>415</v>
      </c>
      <c r="D14" s="43">
        <v>99646583761.290009</v>
      </c>
      <c r="E14" s="43">
        <v>54391485.850000001</v>
      </c>
      <c r="F14" s="43">
        <v>0</v>
      </c>
      <c r="G14" s="43">
        <v>54391485.850000001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5094357751.21</v>
      </c>
      <c r="O14" s="43">
        <v>5094357751.3299999</v>
      </c>
      <c r="P14" s="43">
        <v>0</v>
      </c>
      <c r="Q14" s="43">
        <v>0</v>
      </c>
      <c r="R14" s="43">
        <v>0</v>
      </c>
      <c r="S14" s="43">
        <v>-0.12000000476837158</v>
      </c>
      <c r="T14" s="43">
        <v>0</v>
      </c>
      <c r="U14" s="43">
        <v>5225682.6099999994</v>
      </c>
      <c r="V14" s="43">
        <v>2567.9699999999998</v>
      </c>
      <c r="W14" s="43">
        <v>0</v>
      </c>
      <c r="X14" s="43">
        <v>0</v>
      </c>
      <c r="Y14" s="43">
        <v>0</v>
      </c>
      <c r="Z14" s="43">
        <v>0</v>
      </c>
      <c r="AA14" s="43">
        <v>5223114.6399999997</v>
      </c>
      <c r="AB14" s="43">
        <v>4337571167.8600006</v>
      </c>
      <c r="AC14" s="43">
        <v>83620204.530000001</v>
      </c>
      <c r="AD14" s="43">
        <v>626972366.82000005</v>
      </c>
      <c r="AE14" s="43">
        <v>3626978596.5100002</v>
      </c>
      <c r="AF14" s="43">
        <v>0</v>
      </c>
      <c r="AG14" s="43">
        <v>85386635552.340012</v>
      </c>
      <c r="AH14" s="43">
        <v>48121272233.809998</v>
      </c>
      <c r="AI14" s="43">
        <v>1885470923.74</v>
      </c>
      <c r="AJ14" s="43">
        <v>0</v>
      </c>
      <c r="AK14" s="43">
        <v>34597352202.490005</v>
      </c>
      <c r="AL14" s="43">
        <v>0</v>
      </c>
      <c r="AM14" s="43">
        <v>782540192.30000007</v>
      </c>
      <c r="AN14" s="43">
        <v>2334469375.2299995</v>
      </c>
      <c r="AO14" s="43">
        <v>592285855.42999995</v>
      </c>
      <c r="AP14" s="43">
        <v>75426001.790000007</v>
      </c>
      <c r="AQ14" s="43">
        <v>0</v>
      </c>
      <c r="AR14" s="43">
        <v>103824351.65000001</v>
      </c>
      <c r="AS14" s="43">
        <v>2513930896.4299998</v>
      </c>
      <c r="AT14" s="43">
        <v>-950997730.07000005</v>
      </c>
      <c r="AU14" s="43">
        <v>0</v>
      </c>
      <c r="AV14" s="43">
        <v>828197156.94000006</v>
      </c>
      <c r="AW14" s="43">
        <v>0</v>
      </c>
      <c r="AX14" s="43">
        <v>0</v>
      </c>
      <c r="AY14" s="43">
        <v>828197156.94000006</v>
      </c>
      <c r="AZ14" s="43">
        <v>1520765788.3000002</v>
      </c>
      <c r="BA14" s="43">
        <v>1501047764.9000001</v>
      </c>
      <c r="BB14" s="43">
        <v>0</v>
      </c>
      <c r="BC14" s="43">
        <v>19718023.399999999</v>
      </c>
      <c r="BD14" s="43">
        <v>84969800.950000003</v>
      </c>
      <c r="BE14" s="43">
        <v>0</v>
      </c>
      <c r="BF14" s="43">
        <v>0</v>
      </c>
      <c r="BG14" s="43">
        <v>84969800.950000003</v>
      </c>
      <c r="BH14" s="43">
        <v>3698766248.5400004</v>
      </c>
      <c r="BI14" s="43">
        <v>126660303.11</v>
      </c>
      <c r="BJ14" s="43">
        <v>0</v>
      </c>
      <c r="BK14" s="43">
        <v>126660303.11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3497547383.4900002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3497547383.4900002</v>
      </c>
      <c r="CQ14" s="43">
        <v>0</v>
      </c>
      <c r="CR14" s="43">
        <v>0</v>
      </c>
      <c r="CS14" s="43">
        <v>0</v>
      </c>
      <c r="CT14" s="43">
        <v>0</v>
      </c>
      <c r="CU14" s="43">
        <v>74558561.849999994</v>
      </c>
      <c r="CV14" s="43">
        <v>74558561.849999994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0.09</v>
      </c>
      <c r="DC14" s="43">
        <v>0.09</v>
      </c>
      <c r="DD14" s="43">
        <v>0</v>
      </c>
      <c r="DE14" s="43">
        <v>30862177505.23</v>
      </c>
      <c r="DF14" s="43">
        <v>5656380626.9200001</v>
      </c>
      <c r="DG14" s="43">
        <v>5656380626.9200001</v>
      </c>
      <c r="DH14" s="43">
        <v>0</v>
      </c>
      <c r="DI14" s="43">
        <v>0</v>
      </c>
      <c r="DJ14" s="43">
        <v>0</v>
      </c>
      <c r="DK14" s="43">
        <v>0</v>
      </c>
      <c r="DL14" s="43">
        <v>315067960.39999998</v>
      </c>
      <c r="DM14" s="43">
        <v>315014805.50999999</v>
      </c>
      <c r="DN14" s="43">
        <v>0</v>
      </c>
      <c r="DO14" s="43">
        <v>0</v>
      </c>
      <c r="DP14" s="43">
        <v>0</v>
      </c>
      <c r="DQ14" s="43">
        <v>53154.89</v>
      </c>
      <c r="DR14" s="43">
        <v>19057163687.57</v>
      </c>
      <c r="DS14" s="43">
        <v>1191509647.4300001</v>
      </c>
      <c r="DT14" s="43">
        <v>0</v>
      </c>
      <c r="DU14" s="43">
        <v>17996156373.720001</v>
      </c>
      <c r="DV14" s="43">
        <v>0</v>
      </c>
      <c r="DW14" s="43">
        <v>89094963.730000004</v>
      </c>
      <c r="DX14" s="43">
        <v>-219597297.31</v>
      </c>
      <c r="DY14" s="43">
        <v>-0.39</v>
      </c>
      <c r="DZ14" s="43">
        <v>-0.39</v>
      </c>
      <c r="EA14" s="43">
        <v>0</v>
      </c>
      <c r="EB14" s="43">
        <v>0</v>
      </c>
      <c r="EC14" s="43">
        <v>5833565230.7299995</v>
      </c>
      <c r="ED14" s="43">
        <v>5833565230.7299995</v>
      </c>
      <c r="EE14" s="43">
        <v>0</v>
      </c>
      <c r="EF14" s="43">
        <v>0</v>
      </c>
      <c r="EG14" s="51"/>
      <c r="EH14" s="51"/>
      <c r="EI14" s="51"/>
    </row>
    <row r="15" spans="1:139" ht="12.75" customHeight="1">
      <c r="A15" s="40" t="s">
        <v>46</v>
      </c>
      <c r="B15" s="41">
        <v>1010</v>
      </c>
      <c r="C15" s="42" t="s">
        <v>415</v>
      </c>
      <c r="D15" s="43">
        <v>1537643662.7999988</v>
      </c>
      <c r="E15" s="43">
        <v>5131071.629999999</v>
      </c>
      <c r="F15" s="43">
        <v>0</v>
      </c>
      <c r="G15" s="43">
        <v>5687640.1199999992</v>
      </c>
      <c r="H15" s="43">
        <v>-556568.49000000011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13700161.679999994</v>
      </c>
      <c r="O15" s="43">
        <v>13578648.529999994</v>
      </c>
      <c r="P15" s="43">
        <v>121513.15000000014</v>
      </c>
      <c r="Q15" s="43">
        <v>0</v>
      </c>
      <c r="R15" s="43">
        <v>0</v>
      </c>
      <c r="S15" s="43">
        <v>0</v>
      </c>
      <c r="T15" s="43">
        <v>0</v>
      </c>
      <c r="U15" s="43">
        <v>12371892.009999998</v>
      </c>
      <c r="V15" s="43">
        <v>0</v>
      </c>
      <c r="W15" s="43">
        <v>0</v>
      </c>
      <c r="X15" s="43">
        <v>0</v>
      </c>
      <c r="Y15" s="43">
        <v>0</v>
      </c>
      <c r="Z15" s="43">
        <v>30220.429999999702</v>
      </c>
      <c r="AA15" s="43">
        <v>12341671.579999998</v>
      </c>
      <c r="AB15" s="43">
        <v>14135171.429999948</v>
      </c>
      <c r="AC15" s="43">
        <v>0</v>
      </c>
      <c r="AD15" s="43">
        <v>0</v>
      </c>
      <c r="AE15" s="43">
        <v>14135171.429999948</v>
      </c>
      <c r="AF15" s="43">
        <v>0</v>
      </c>
      <c r="AG15" s="43">
        <v>1182042272.7799993</v>
      </c>
      <c r="AH15" s="43">
        <v>1055019939.6399994</v>
      </c>
      <c r="AI15" s="43">
        <v>5460208.4100000001</v>
      </c>
      <c r="AJ15" s="43">
        <v>1546135.7599999998</v>
      </c>
      <c r="AK15" s="43">
        <v>120015988.96999995</v>
      </c>
      <c r="AL15" s="43">
        <v>0</v>
      </c>
      <c r="AM15" s="43">
        <v>0</v>
      </c>
      <c r="AN15" s="43">
        <v>118808827.47999996</v>
      </c>
      <c r="AO15" s="43">
        <v>43686734.589999974</v>
      </c>
      <c r="AP15" s="43">
        <v>2263630.0700000003</v>
      </c>
      <c r="AQ15" s="43">
        <v>0</v>
      </c>
      <c r="AR15" s="43">
        <v>0</v>
      </c>
      <c r="AS15" s="43">
        <v>145611842.63999999</v>
      </c>
      <c r="AT15" s="43">
        <v>-72753379.819999993</v>
      </c>
      <c r="AU15" s="43">
        <v>0</v>
      </c>
      <c r="AV15" s="43">
        <v>190359041.95999968</v>
      </c>
      <c r="AW15" s="43">
        <v>0</v>
      </c>
      <c r="AX15" s="43">
        <v>0</v>
      </c>
      <c r="AY15" s="43">
        <v>190359041.95999968</v>
      </c>
      <c r="AZ15" s="43">
        <v>0</v>
      </c>
      <c r="BA15" s="43">
        <v>0</v>
      </c>
      <c r="BB15" s="43">
        <v>0</v>
      </c>
      <c r="BC15" s="43">
        <v>0</v>
      </c>
      <c r="BD15" s="43">
        <v>1095223.8300000019</v>
      </c>
      <c r="BE15" s="43">
        <v>0</v>
      </c>
      <c r="BF15" s="43">
        <v>0</v>
      </c>
      <c r="BG15" s="43">
        <v>1095223.8300000019</v>
      </c>
      <c r="BH15" s="43">
        <v>8020978337.9900084</v>
      </c>
      <c r="BI15" s="43">
        <v>813832.40999999992</v>
      </c>
      <c r="BJ15" s="43">
        <v>0</v>
      </c>
      <c r="BK15" s="43">
        <v>900000.11999999988</v>
      </c>
      <c r="BL15" s="43">
        <v>-86167.709999999992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8016924235.0500088</v>
      </c>
      <c r="CK15" s="43">
        <v>7944425861.0800095</v>
      </c>
      <c r="CL15" s="43">
        <v>0</v>
      </c>
      <c r="CM15" s="43">
        <v>7367125.0799999982</v>
      </c>
      <c r="CN15" s="43">
        <v>64612285.980000019</v>
      </c>
      <c r="CO15" s="43">
        <v>0</v>
      </c>
      <c r="CP15" s="43">
        <v>518962.90999999992</v>
      </c>
      <c r="CQ15" s="43">
        <v>0</v>
      </c>
      <c r="CR15" s="43">
        <v>0</v>
      </c>
      <c r="CS15" s="43">
        <v>0</v>
      </c>
      <c r="CT15" s="43">
        <v>0</v>
      </c>
      <c r="CU15" s="43">
        <v>3240270.5300000012</v>
      </c>
      <c r="CV15" s="43">
        <v>3240270.5300000012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3840367958.0999937</v>
      </c>
      <c r="DF15" s="43">
        <v>47936859</v>
      </c>
      <c r="DG15" s="43">
        <v>47936859</v>
      </c>
      <c r="DH15" s="43">
        <v>0</v>
      </c>
      <c r="DI15" s="43">
        <v>0</v>
      </c>
      <c r="DJ15" s="43">
        <v>0</v>
      </c>
      <c r="DK15" s="43">
        <v>0</v>
      </c>
      <c r="DL15" s="43">
        <v>99586341.299999997</v>
      </c>
      <c r="DM15" s="43">
        <v>99586341.299999997</v>
      </c>
      <c r="DN15" s="43">
        <v>0</v>
      </c>
      <c r="DO15" s="43">
        <v>0</v>
      </c>
      <c r="DP15" s="43">
        <v>0</v>
      </c>
      <c r="DQ15" s="43">
        <v>0</v>
      </c>
      <c r="DR15" s="43">
        <v>6317843.2100000381</v>
      </c>
      <c r="DS15" s="43">
        <v>5337310.75</v>
      </c>
      <c r="DT15" s="43">
        <v>0</v>
      </c>
      <c r="DU15" s="43">
        <v>0</v>
      </c>
      <c r="DV15" s="43">
        <v>0</v>
      </c>
      <c r="DW15" s="43">
        <v>980532.46000003815</v>
      </c>
      <c r="DX15" s="43">
        <v>0</v>
      </c>
      <c r="DY15" s="43">
        <v>2856426858.8000002</v>
      </c>
      <c r="DZ15" s="43">
        <v>2856426858.8000002</v>
      </c>
      <c r="EA15" s="43">
        <v>-283118.17</v>
      </c>
      <c r="EB15" s="43">
        <v>-283118.17</v>
      </c>
      <c r="EC15" s="43">
        <v>830383173.95999312</v>
      </c>
      <c r="ED15" s="43">
        <v>830383173.95999312</v>
      </c>
      <c r="EE15" s="43">
        <v>0</v>
      </c>
      <c r="EF15" s="43">
        <v>0</v>
      </c>
      <c r="EG15" s="51"/>
      <c r="EH15" s="51"/>
      <c r="EI15" s="51"/>
    </row>
    <row r="16" spans="1:139" ht="12.75" customHeight="1">
      <c r="A16" s="40" t="s">
        <v>49</v>
      </c>
      <c r="B16" s="41">
        <v>1011</v>
      </c>
      <c r="C16" s="42" t="s">
        <v>415</v>
      </c>
      <c r="D16" s="43">
        <v>1339346618.21</v>
      </c>
      <c r="E16" s="43">
        <v>15811850.579999998</v>
      </c>
      <c r="F16" s="43">
        <v>0</v>
      </c>
      <c r="G16" s="43">
        <v>23889397.699999999</v>
      </c>
      <c r="H16" s="43">
        <v>-8081147.1200000001</v>
      </c>
      <c r="I16" s="43">
        <v>0</v>
      </c>
      <c r="J16" s="43">
        <v>0</v>
      </c>
      <c r="K16" s="43">
        <v>0</v>
      </c>
      <c r="L16" s="43">
        <v>0</v>
      </c>
      <c r="M16" s="43">
        <v>3600</v>
      </c>
      <c r="N16" s="43">
        <v>354779308.81999987</v>
      </c>
      <c r="O16" s="43">
        <v>55323955.819999889</v>
      </c>
      <c r="P16" s="43">
        <v>299455353</v>
      </c>
      <c r="Q16" s="43">
        <v>0</v>
      </c>
      <c r="R16" s="43">
        <v>0</v>
      </c>
      <c r="S16" s="43">
        <v>0</v>
      </c>
      <c r="T16" s="43">
        <v>0</v>
      </c>
      <c r="U16" s="43">
        <v>7070359.7500000214</v>
      </c>
      <c r="V16" s="43">
        <v>0</v>
      </c>
      <c r="W16" s="43">
        <v>0</v>
      </c>
      <c r="X16" s="43">
        <v>0</v>
      </c>
      <c r="Y16" s="43">
        <v>0</v>
      </c>
      <c r="Z16" s="43">
        <v>487245.02000002097</v>
      </c>
      <c r="AA16" s="43">
        <v>6583114.7300000004</v>
      </c>
      <c r="AB16" s="43">
        <v>4674567.45</v>
      </c>
      <c r="AC16" s="43">
        <v>0</v>
      </c>
      <c r="AD16" s="43">
        <v>0</v>
      </c>
      <c r="AE16" s="43">
        <v>4674567.45</v>
      </c>
      <c r="AF16" s="43">
        <v>0</v>
      </c>
      <c r="AG16" s="43">
        <v>732712634.97000003</v>
      </c>
      <c r="AH16" s="43">
        <v>366013011.69999999</v>
      </c>
      <c r="AI16" s="43">
        <v>0</v>
      </c>
      <c r="AJ16" s="43">
        <v>0</v>
      </c>
      <c r="AK16" s="43">
        <v>366699623.26999998</v>
      </c>
      <c r="AL16" s="43">
        <v>0</v>
      </c>
      <c r="AM16" s="43">
        <v>0</v>
      </c>
      <c r="AN16" s="43">
        <v>15391382.130000001</v>
      </c>
      <c r="AO16" s="43">
        <v>11189419.720000001</v>
      </c>
      <c r="AP16" s="43">
        <v>4201962.41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19156135.34</v>
      </c>
      <c r="AW16" s="43">
        <v>0</v>
      </c>
      <c r="AX16" s="43">
        <v>0</v>
      </c>
      <c r="AY16" s="43">
        <v>19156135.34</v>
      </c>
      <c r="AZ16" s="43">
        <v>189750379.17000002</v>
      </c>
      <c r="BA16" s="43">
        <v>164604377.89000002</v>
      </c>
      <c r="BB16" s="43">
        <v>25146001.280000001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447787646.34000003</v>
      </c>
      <c r="BI16" s="43">
        <v>30605081.850000001</v>
      </c>
      <c r="BJ16" s="43">
        <v>0</v>
      </c>
      <c r="BK16" s="43">
        <v>36737170.32</v>
      </c>
      <c r="BL16" s="43">
        <v>-6132088.4699999997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412477875.49000001</v>
      </c>
      <c r="CK16" s="43">
        <v>116568003.98999999</v>
      </c>
      <c r="CL16" s="43">
        <v>0</v>
      </c>
      <c r="CM16" s="43">
        <v>0</v>
      </c>
      <c r="CN16" s="43">
        <v>0</v>
      </c>
      <c r="CO16" s="43">
        <v>0</v>
      </c>
      <c r="CP16" s="43">
        <v>295909871.5</v>
      </c>
      <c r="CQ16" s="43">
        <v>0</v>
      </c>
      <c r="CR16" s="43">
        <v>0</v>
      </c>
      <c r="CS16" s="43">
        <v>0</v>
      </c>
      <c r="CT16" s="43">
        <v>0</v>
      </c>
      <c r="CU16" s="43">
        <v>4704689</v>
      </c>
      <c r="CV16" s="43">
        <v>4704689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</v>
      </c>
      <c r="DC16" s="43">
        <v>0</v>
      </c>
      <c r="DD16" s="43">
        <v>0</v>
      </c>
      <c r="DE16" s="43">
        <v>330216714.42993349</v>
      </c>
      <c r="DF16" s="43">
        <v>25318359</v>
      </c>
      <c r="DG16" s="43">
        <v>25318359</v>
      </c>
      <c r="DH16" s="43">
        <v>0</v>
      </c>
      <c r="DI16" s="43">
        <v>0</v>
      </c>
      <c r="DJ16" s="43">
        <v>0</v>
      </c>
      <c r="DK16" s="43">
        <v>0</v>
      </c>
      <c r="DL16" s="43">
        <v>0</v>
      </c>
      <c r="DM16" s="43">
        <v>0</v>
      </c>
      <c r="DN16" s="43">
        <v>0</v>
      </c>
      <c r="DO16" s="43">
        <v>0</v>
      </c>
      <c r="DP16" s="43">
        <v>0</v>
      </c>
      <c r="DQ16" s="43">
        <v>0</v>
      </c>
      <c r="DR16" s="43">
        <v>15645561.780000001</v>
      </c>
      <c r="DS16" s="43">
        <v>15778509.9</v>
      </c>
      <c r="DT16" s="43">
        <v>0</v>
      </c>
      <c r="DU16" s="43">
        <v>0</v>
      </c>
      <c r="DV16" s="43">
        <v>0</v>
      </c>
      <c r="DW16" s="43">
        <v>-132948.12</v>
      </c>
      <c r="DX16" s="43">
        <v>0</v>
      </c>
      <c r="DY16" s="43">
        <v>480561217.29000002</v>
      </c>
      <c r="DZ16" s="43">
        <v>480561217.29000002</v>
      </c>
      <c r="EA16" s="43">
        <v>-30706197.220062301</v>
      </c>
      <c r="EB16" s="43">
        <v>-30706197.220062301</v>
      </c>
      <c r="EC16" s="43">
        <v>-160602226.42000425</v>
      </c>
      <c r="ED16" s="43">
        <v>-160602226.42000425</v>
      </c>
      <c r="EE16" s="43">
        <v>0</v>
      </c>
      <c r="EF16" s="43">
        <v>0</v>
      </c>
      <c r="EG16" s="51"/>
      <c r="EH16" s="51"/>
      <c r="EI16" s="51"/>
    </row>
    <row r="17" spans="1:139" ht="12.75" customHeight="1">
      <c r="A17" s="40" t="s">
        <v>3</v>
      </c>
      <c r="B17" s="41">
        <v>1012</v>
      </c>
      <c r="C17" s="42" t="s">
        <v>415</v>
      </c>
      <c r="D17" s="43">
        <v>12611698222.999996</v>
      </c>
      <c r="E17" s="43">
        <v>19540012.530000001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19540012.530000001</v>
      </c>
      <c r="N17" s="43">
        <v>751329188.87</v>
      </c>
      <c r="O17" s="43">
        <v>751329188.87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235991527.53</v>
      </c>
      <c r="AC17" s="43">
        <v>47115318.509999998</v>
      </c>
      <c r="AD17" s="43">
        <v>56070177.079999998</v>
      </c>
      <c r="AE17" s="43">
        <v>132806031.94</v>
      </c>
      <c r="AF17" s="43">
        <v>0</v>
      </c>
      <c r="AG17" s="43">
        <v>11395902762.669994</v>
      </c>
      <c r="AH17" s="43">
        <v>4084632542.9599981</v>
      </c>
      <c r="AI17" s="43">
        <v>162668643.32999998</v>
      </c>
      <c r="AJ17" s="43">
        <v>0</v>
      </c>
      <c r="AK17" s="43">
        <v>7148601576.3799973</v>
      </c>
      <c r="AL17" s="43">
        <v>0</v>
      </c>
      <c r="AM17" s="43">
        <v>0</v>
      </c>
      <c r="AN17" s="43">
        <v>71511379.75999999</v>
      </c>
      <c r="AO17" s="43">
        <v>147362876.66999999</v>
      </c>
      <c r="AP17" s="43">
        <v>8104110.4000000004</v>
      </c>
      <c r="AQ17" s="43">
        <v>0</v>
      </c>
      <c r="AR17" s="43">
        <v>0</v>
      </c>
      <c r="AS17" s="43">
        <v>192746281.61000001</v>
      </c>
      <c r="AT17" s="43">
        <v>-276701888.92000002</v>
      </c>
      <c r="AU17" s="43">
        <v>0</v>
      </c>
      <c r="AV17" s="43">
        <v>13648856.189999999</v>
      </c>
      <c r="AW17" s="43">
        <v>0</v>
      </c>
      <c r="AX17" s="43">
        <v>0</v>
      </c>
      <c r="AY17" s="43">
        <v>13648856.189999999</v>
      </c>
      <c r="AZ17" s="43">
        <v>123774495.45</v>
      </c>
      <c r="BA17" s="43">
        <v>123774495.45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459105404.09000003</v>
      </c>
      <c r="BI17" s="43">
        <v>2359065.33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2359065.33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</v>
      </c>
      <c r="CB17" s="43">
        <v>0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356382722.95000005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356382722.95000005</v>
      </c>
      <c r="CQ17" s="43">
        <v>0</v>
      </c>
      <c r="CR17" s="43">
        <v>0</v>
      </c>
      <c r="CS17" s="43">
        <v>0</v>
      </c>
      <c r="CT17" s="43">
        <v>0</v>
      </c>
      <c r="CU17" s="43">
        <v>5109761.2500000019</v>
      </c>
      <c r="CV17" s="43">
        <v>5109761.2500000019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95253854.560000002</v>
      </c>
      <c r="DC17" s="43">
        <v>95253854.560000002</v>
      </c>
      <c r="DD17" s="43">
        <v>0</v>
      </c>
      <c r="DE17" s="43">
        <v>6378810487.3099995</v>
      </c>
      <c r="DF17" s="43">
        <v>1170000000</v>
      </c>
      <c r="DG17" s="43">
        <v>1170000000</v>
      </c>
      <c r="DH17" s="43">
        <v>0</v>
      </c>
      <c r="DI17" s="43">
        <v>0</v>
      </c>
      <c r="DJ17" s="43">
        <v>0</v>
      </c>
      <c r="DK17" s="43">
        <v>0</v>
      </c>
      <c r="DL17" s="43">
        <v>0</v>
      </c>
      <c r="DM17" s="43">
        <v>0</v>
      </c>
      <c r="DN17" s="43">
        <v>0</v>
      </c>
      <c r="DO17" s="43">
        <v>0</v>
      </c>
      <c r="DP17" s="43">
        <v>0</v>
      </c>
      <c r="DQ17" s="43">
        <v>0</v>
      </c>
      <c r="DR17" s="43">
        <v>4249840558.4699998</v>
      </c>
      <c r="DS17" s="43">
        <v>398884773.18000001</v>
      </c>
      <c r="DT17" s="43">
        <v>0</v>
      </c>
      <c r="DU17" s="43">
        <v>2803740123.4200001</v>
      </c>
      <c r="DV17" s="43">
        <v>229591414</v>
      </c>
      <c r="DW17" s="43">
        <v>817624247.87</v>
      </c>
      <c r="DX17" s="43">
        <v>0</v>
      </c>
      <c r="DY17" s="43">
        <v>0</v>
      </c>
      <c r="DZ17" s="43">
        <v>0</v>
      </c>
      <c r="EA17" s="43">
        <v>0</v>
      </c>
      <c r="EB17" s="43">
        <v>0</v>
      </c>
      <c r="EC17" s="43">
        <v>958969928.84000027</v>
      </c>
      <c r="ED17" s="43">
        <v>958969928.84000027</v>
      </c>
      <c r="EE17" s="43">
        <v>0</v>
      </c>
      <c r="EF17" s="43">
        <v>0</v>
      </c>
      <c r="EG17" s="51"/>
      <c r="EH17" s="51"/>
      <c r="EI17" s="51"/>
    </row>
    <row r="18" spans="1:139" ht="12.75" customHeight="1">
      <c r="A18" s="40" t="s">
        <v>5</v>
      </c>
      <c r="B18" s="41">
        <v>1013</v>
      </c>
      <c r="C18" s="42" t="s">
        <v>415</v>
      </c>
      <c r="D18" s="43">
        <v>2809279183.04</v>
      </c>
      <c r="E18" s="43">
        <v>19615736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19615736</v>
      </c>
      <c r="N18" s="43">
        <v>1552637342.0899999</v>
      </c>
      <c r="O18" s="43">
        <v>1552637342.0899999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8843257.1799999997</v>
      </c>
      <c r="AC18" s="43">
        <v>0</v>
      </c>
      <c r="AD18" s="43">
        <v>0</v>
      </c>
      <c r="AE18" s="43">
        <v>8843257.1799999997</v>
      </c>
      <c r="AF18" s="43">
        <v>0</v>
      </c>
      <c r="AG18" s="43">
        <v>966220054.52000022</v>
      </c>
      <c r="AH18" s="43">
        <v>454309897.73000014</v>
      </c>
      <c r="AI18" s="43">
        <v>11510408.690000001</v>
      </c>
      <c r="AJ18" s="43">
        <v>0</v>
      </c>
      <c r="AK18" s="43">
        <v>500399748.10000014</v>
      </c>
      <c r="AL18" s="43">
        <v>0</v>
      </c>
      <c r="AM18" s="43">
        <v>0</v>
      </c>
      <c r="AN18" s="43">
        <v>32736262.93</v>
      </c>
      <c r="AO18" s="43">
        <v>26446720.789999999</v>
      </c>
      <c r="AP18" s="43">
        <v>6289542.1399999997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31739728.16</v>
      </c>
      <c r="AW18" s="43">
        <v>0</v>
      </c>
      <c r="AX18" s="43">
        <v>0</v>
      </c>
      <c r="AY18" s="43">
        <v>31739728.16</v>
      </c>
      <c r="AZ18" s="43">
        <v>197486797.80000001</v>
      </c>
      <c r="BA18" s="43">
        <v>195597908.96000001</v>
      </c>
      <c r="BB18" s="43">
        <v>0</v>
      </c>
      <c r="BC18" s="43">
        <v>1888888.84</v>
      </c>
      <c r="BD18" s="43">
        <v>4.3600000000001273</v>
      </c>
      <c r="BE18" s="43">
        <v>0</v>
      </c>
      <c r="BF18" s="43">
        <v>4.3600000000001273</v>
      </c>
      <c r="BG18" s="43">
        <v>0</v>
      </c>
      <c r="BH18" s="43">
        <v>98788485.170000002</v>
      </c>
      <c r="BI18" s="43">
        <v>6013209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6013209</v>
      </c>
      <c r="BQ18" s="43">
        <v>0</v>
      </c>
      <c r="BR18" s="43">
        <v>0</v>
      </c>
      <c r="BS18" s="43">
        <v>0</v>
      </c>
      <c r="BT18" s="43">
        <v>0</v>
      </c>
      <c r="BU18" s="43">
        <v>0</v>
      </c>
      <c r="BV18" s="43">
        <v>0</v>
      </c>
      <c r="BW18" s="43">
        <v>0</v>
      </c>
      <c r="BX18" s="43">
        <v>0</v>
      </c>
      <c r="BY18" s="43">
        <v>0</v>
      </c>
      <c r="BZ18" s="43">
        <v>0</v>
      </c>
      <c r="CA18" s="43">
        <v>0</v>
      </c>
      <c r="CB18" s="43">
        <v>0</v>
      </c>
      <c r="CC18" s="43">
        <v>0</v>
      </c>
      <c r="CD18" s="43">
        <v>0</v>
      </c>
      <c r="CE18" s="43">
        <v>4378890.28</v>
      </c>
      <c r="CF18" s="43">
        <v>4378890.28</v>
      </c>
      <c r="CG18" s="43">
        <v>0</v>
      </c>
      <c r="CH18" s="43">
        <v>0</v>
      </c>
      <c r="CI18" s="43">
        <v>0</v>
      </c>
      <c r="CJ18" s="43">
        <v>80493843.890000001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80493843.890000001</v>
      </c>
      <c r="CQ18" s="43">
        <v>0</v>
      </c>
      <c r="CR18" s="43">
        <v>0</v>
      </c>
      <c r="CS18" s="43">
        <v>0</v>
      </c>
      <c r="CT18" s="43">
        <v>0</v>
      </c>
      <c r="CU18" s="43">
        <v>7902542</v>
      </c>
      <c r="CV18" s="43">
        <v>7902542</v>
      </c>
      <c r="CW18" s="43">
        <v>0</v>
      </c>
      <c r="CX18" s="43">
        <v>0</v>
      </c>
      <c r="CY18" s="43">
        <v>0</v>
      </c>
      <c r="CZ18" s="43">
        <v>0</v>
      </c>
      <c r="DA18" s="43">
        <v>0</v>
      </c>
      <c r="DB18" s="43">
        <v>0</v>
      </c>
      <c r="DC18" s="43">
        <v>0</v>
      </c>
      <c r="DD18" s="43">
        <v>0</v>
      </c>
      <c r="DE18" s="43">
        <v>157646544.29999974</v>
      </c>
      <c r="DF18" s="43">
        <v>163900000</v>
      </c>
      <c r="DG18" s="43">
        <v>163900000</v>
      </c>
      <c r="DH18" s="43">
        <v>0</v>
      </c>
      <c r="DI18" s="43">
        <v>0</v>
      </c>
      <c r="DJ18" s="43">
        <v>0</v>
      </c>
      <c r="DK18" s="43">
        <v>0</v>
      </c>
      <c r="DL18" s="43">
        <v>0</v>
      </c>
      <c r="DM18" s="43">
        <v>0</v>
      </c>
      <c r="DN18" s="43">
        <v>0</v>
      </c>
      <c r="DO18" s="43">
        <v>0</v>
      </c>
      <c r="DP18" s="43">
        <v>0</v>
      </c>
      <c r="DQ18" s="43">
        <v>0</v>
      </c>
      <c r="DR18" s="43">
        <v>4106589.7199999997</v>
      </c>
      <c r="DS18" s="43">
        <v>6554570.7199999997</v>
      </c>
      <c r="DT18" s="43">
        <v>0</v>
      </c>
      <c r="DU18" s="43">
        <v>0</v>
      </c>
      <c r="DV18" s="43">
        <v>0</v>
      </c>
      <c r="DW18" s="43">
        <v>0</v>
      </c>
      <c r="DX18" s="43">
        <v>-2447981</v>
      </c>
      <c r="DY18" s="43">
        <v>132657025.87</v>
      </c>
      <c r="DZ18" s="43">
        <v>132657025.87</v>
      </c>
      <c r="EA18" s="43">
        <v>-9252388.8000000007</v>
      </c>
      <c r="EB18" s="43">
        <v>-9252388.8000000007</v>
      </c>
      <c r="EC18" s="43">
        <v>-133764682.49000028</v>
      </c>
      <c r="ED18" s="43">
        <v>-133764682.49000028</v>
      </c>
      <c r="EE18" s="43">
        <v>0</v>
      </c>
      <c r="EF18" s="43">
        <v>0</v>
      </c>
      <c r="EG18" s="51"/>
      <c r="EH18" s="51"/>
      <c r="EI18" s="51"/>
    </row>
    <row r="19" spans="1:139" ht="12.75" customHeight="1">
      <c r="A19" s="40" t="s">
        <v>56</v>
      </c>
      <c r="B19" s="41">
        <v>1016</v>
      </c>
      <c r="C19" s="42" t="s">
        <v>415</v>
      </c>
      <c r="D19" s="43">
        <v>804983569.67999971</v>
      </c>
      <c r="E19" s="43">
        <v>7982114.1999999993</v>
      </c>
      <c r="F19" s="43">
        <v>0</v>
      </c>
      <c r="G19" s="43">
        <v>13985251.6</v>
      </c>
      <c r="H19" s="43">
        <v>-6003137.4000000004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328363568.91999996</v>
      </c>
      <c r="O19" s="43">
        <v>328363568.91999996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27380221.449999999</v>
      </c>
      <c r="V19" s="43">
        <v>0</v>
      </c>
      <c r="W19" s="43">
        <v>0</v>
      </c>
      <c r="X19" s="43">
        <v>2846455.52</v>
      </c>
      <c r="Y19" s="43">
        <v>0</v>
      </c>
      <c r="Z19" s="43">
        <v>-38188.160000000003</v>
      </c>
      <c r="AA19" s="43">
        <v>24571954.09</v>
      </c>
      <c r="AB19" s="43">
        <v>7852162.0500000007</v>
      </c>
      <c r="AC19" s="43">
        <v>0</v>
      </c>
      <c r="AD19" s="43">
        <v>0</v>
      </c>
      <c r="AE19" s="43">
        <v>7852162.0500000007</v>
      </c>
      <c r="AF19" s="43">
        <v>0</v>
      </c>
      <c r="AG19" s="43">
        <v>265884500.89999995</v>
      </c>
      <c r="AH19" s="43">
        <v>213127185.54999995</v>
      </c>
      <c r="AI19" s="43">
        <v>0</v>
      </c>
      <c r="AJ19" s="43">
        <v>0</v>
      </c>
      <c r="AK19" s="43">
        <v>52757314.879999995</v>
      </c>
      <c r="AL19" s="43">
        <v>0</v>
      </c>
      <c r="AM19" s="43">
        <v>0.47</v>
      </c>
      <c r="AN19" s="43">
        <v>29386657.309999999</v>
      </c>
      <c r="AO19" s="43">
        <v>9800585.1899999958</v>
      </c>
      <c r="AP19" s="43">
        <v>4306576.2200000007</v>
      </c>
      <c r="AQ19" s="43">
        <v>0</v>
      </c>
      <c r="AR19" s="43">
        <v>0</v>
      </c>
      <c r="AS19" s="43">
        <v>20933159.809999999</v>
      </c>
      <c r="AT19" s="43">
        <v>-5653663.9700000007</v>
      </c>
      <c r="AU19" s="43">
        <v>0.06</v>
      </c>
      <c r="AV19" s="43">
        <v>14945283.67</v>
      </c>
      <c r="AW19" s="43">
        <v>0</v>
      </c>
      <c r="AX19" s="43">
        <v>0</v>
      </c>
      <c r="AY19" s="43">
        <v>14945283.67</v>
      </c>
      <c r="AZ19" s="43">
        <v>123189061.17999999</v>
      </c>
      <c r="BA19" s="43">
        <v>104509267.75999999</v>
      </c>
      <c r="BB19" s="43">
        <v>18679793.420000002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118401018.32000004</v>
      </c>
      <c r="BI19" s="43">
        <v>13282246.66</v>
      </c>
      <c r="BJ19" s="43">
        <v>0</v>
      </c>
      <c r="BK19" s="43">
        <v>17222890</v>
      </c>
      <c r="BL19" s="43">
        <v>-3940643.34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</v>
      </c>
      <c r="CB19" s="43">
        <v>0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95766756.900000036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95766756.900000036</v>
      </c>
      <c r="CQ19" s="43">
        <v>0</v>
      </c>
      <c r="CR19" s="43">
        <v>0</v>
      </c>
      <c r="CS19" s="43">
        <v>0</v>
      </c>
      <c r="CT19" s="43">
        <v>0</v>
      </c>
      <c r="CU19" s="43">
        <v>9352014.7599999998</v>
      </c>
      <c r="CV19" s="43">
        <v>9352014.7599999998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0</v>
      </c>
      <c r="DC19" s="43">
        <v>0</v>
      </c>
      <c r="DD19" s="43">
        <v>0</v>
      </c>
      <c r="DE19" s="43">
        <v>536652264.55000043</v>
      </c>
      <c r="DF19" s="43">
        <v>198660000.40000001</v>
      </c>
      <c r="DG19" s="43">
        <v>198660000.40000001</v>
      </c>
      <c r="DH19" s="43">
        <v>0</v>
      </c>
      <c r="DI19" s="43">
        <v>0</v>
      </c>
      <c r="DJ19" s="43">
        <v>0</v>
      </c>
      <c r="DK19" s="43">
        <v>0</v>
      </c>
      <c r="DL19" s="43">
        <v>0</v>
      </c>
      <c r="DM19" s="43">
        <v>0</v>
      </c>
      <c r="DN19" s="43">
        <v>0</v>
      </c>
      <c r="DO19" s="43">
        <v>0</v>
      </c>
      <c r="DP19" s="43">
        <v>0</v>
      </c>
      <c r="DQ19" s="43">
        <v>0</v>
      </c>
      <c r="DR19" s="43">
        <v>5227219.79</v>
      </c>
      <c r="DS19" s="43">
        <v>5539453.8399999999</v>
      </c>
      <c r="DT19" s="43">
        <v>0</v>
      </c>
      <c r="DU19" s="43">
        <v>0</v>
      </c>
      <c r="DV19" s="43">
        <v>-312234.05</v>
      </c>
      <c r="DW19" s="43">
        <v>0</v>
      </c>
      <c r="DX19" s="43">
        <v>0</v>
      </c>
      <c r="DY19" s="43">
        <v>289925590.94</v>
      </c>
      <c r="DZ19" s="43">
        <v>289925590.94</v>
      </c>
      <c r="EA19" s="43">
        <v>-1933521.26</v>
      </c>
      <c r="EB19" s="43">
        <v>-1933521.26</v>
      </c>
      <c r="EC19" s="43">
        <v>44772974.680000432</v>
      </c>
      <c r="ED19" s="43">
        <v>44772974.680000432</v>
      </c>
      <c r="EE19" s="43">
        <v>0</v>
      </c>
      <c r="EF19" s="43">
        <v>0</v>
      </c>
      <c r="EG19" s="51"/>
      <c r="EH19" s="51"/>
      <c r="EI19" s="51"/>
    </row>
    <row r="20" spans="1:139" ht="12.75" customHeight="1">
      <c r="A20" s="40" t="s">
        <v>59</v>
      </c>
      <c r="B20" s="41">
        <v>1017</v>
      </c>
      <c r="C20" s="42" t="s">
        <v>415</v>
      </c>
      <c r="D20" s="43">
        <v>20424791145.167793</v>
      </c>
      <c r="E20" s="43">
        <v>1219736.7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1219736.7</v>
      </c>
      <c r="N20" s="43">
        <v>3665794638.5033932</v>
      </c>
      <c r="O20" s="43">
        <v>3665794638.5033932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33620180.566196002</v>
      </c>
      <c r="V20" s="43">
        <v>3438929.4161959998</v>
      </c>
      <c r="W20" s="43">
        <v>0</v>
      </c>
      <c r="X20" s="43">
        <v>0</v>
      </c>
      <c r="Y20" s="43">
        <v>0</v>
      </c>
      <c r="Z20" s="43">
        <v>20425921.200000003</v>
      </c>
      <c r="AA20" s="43">
        <v>9755329.9499999993</v>
      </c>
      <c r="AB20" s="43">
        <v>351572570.46820402</v>
      </c>
      <c r="AC20" s="43">
        <v>0</v>
      </c>
      <c r="AD20" s="43">
        <v>102802870.54000001</v>
      </c>
      <c r="AE20" s="43">
        <v>248769699.928204</v>
      </c>
      <c r="AF20" s="43">
        <v>0</v>
      </c>
      <c r="AG20" s="43">
        <v>14716902239.579998</v>
      </c>
      <c r="AH20" s="43">
        <v>8410054408.0499983</v>
      </c>
      <c r="AI20" s="43">
        <v>280019343</v>
      </c>
      <c r="AJ20" s="43">
        <v>0</v>
      </c>
      <c r="AK20" s="43">
        <v>6026828488.5299988</v>
      </c>
      <c r="AL20" s="43">
        <v>0</v>
      </c>
      <c r="AM20" s="43">
        <v>0</v>
      </c>
      <c r="AN20" s="43">
        <v>297328845.71999997</v>
      </c>
      <c r="AO20" s="43">
        <v>216166566.77000004</v>
      </c>
      <c r="AP20" s="43">
        <v>42151830.43</v>
      </c>
      <c r="AQ20" s="43">
        <v>0</v>
      </c>
      <c r="AR20" s="43">
        <v>0</v>
      </c>
      <c r="AS20" s="43">
        <v>557690368.80999994</v>
      </c>
      <c r="AT20" s="43">
        <v>-518679920.29000002</v>
      </c>
      <c r="AU20" s="43">
        <v>0</v>
      </c>
      <c r="AV20" s="43">
        <v>589573896.67999995</v>
      </c>
      <c r="AW20" s="43">
        <v>0</v>
      </c>
      <c r="AX20" s="43">
        <v>0</v>
      </c>
      <c r="AY20" s="43">
        <v>589573896.67999995</v>
      </c>
      <c r="AZ20" s="43">
        <v>768779036.95000005</v>
      </c>
      <c r="BA20" s="43">
        <v>768779036.95000005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565843142.35000002</v>
      </c>
      <c r="BI20" s="43">
        <v>6718382.79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6718382.79</v>
      </c>
      <c r="BQ20" s="43">
        <v>51910589.310000002</v>
      </c>
      <c r="BR20" s="43">
        <v>51910589.310000002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9388120.5199999996</v>
      </c>
      <c r="CF20" s="43">
        <v>9388120.5199999996</v>
      </c>
      <c r="CG20" s="43">
        <v>0</v>
      </c>
      <c r="CH20" s="43">
        <v>0</v>
      </c>
      <c r="CI20" s="43">
        <v>0</v>
      </c>
      <c r="CJ20" s="43">
        <v>312460922.43000007</v>
      </c>
      <c r="CK20" s="43">
        <v>268727233.54000008</v>
      </c>
      <c r="CL20" s="43">
        <v>0</v>
      </c>
      <c r="CM20" s="43">
        <v>0</v>
      </c>
      <c r="CN20" s="43">
        <v>0</v>
      </c>
      <c r="CO20" s="43">
        <v>0</v>
      </c>
      <c r="CP20" s="43">
        <v>43733688.889999986</v>
      </c>
      <c r="CQ20" s="43">
        <v>0</v>
      </c>
      <c r="CR20" s="43">
        <v>0</v>
      </c>
      <c r="CS20" s="43">
        <v>0</v>
      </c>
      <c r="CT20" s="43">
        <v>0</v>
      </c>
      <c r="CU20" s="43">
        <v>77292690.909999996</v>
      </c>
      <c r="CV20" s="43">
        <v>77292690.909999996</v>
      </c>
      <c r="CW20" s="43">
        <v>0</v>
      </c>
      <c r="CX20" s="43">
        <v>108072436.39</v>
      </c>
      <c r="CY20" s="43">
        <v>108072436.39</v>
      </c>
      <c r="CZ20" s="43">
        <v>0</v>
      </c>
      <c r="DA20" s="43">
        <v>0</v>
      </c>
      <c r="DB20" s="43">
        <v>0</v>
      </c>
      <c r="DC20" s="43">
        <v>0</v>
      </c>
      <c r="DD20" s="43">
        <v>0</v>
      </c>
      <c r="DE20" s="43">
        <v>6351587597.4835911</v>
      </c>
      <c r="DF20" s="43">
        <v>60000000</v>
      </c>
      <c r="DG20" s="43">
        <v>60000000</v>
      </c>
      <c r="DH20" s="43">
        <v>0</v>
      </c>
      <c r="DI20" s="43">
        <v>0</v>
      </c>
      <c r="DJ20" s="43">
        <v>0</v>
      </c>
      <c r="DK20" s="43">
        <v>0</v>
      </c>
      <c r="DL20" s="43">
        <v>683016870.98000002</v>
      </c>
      <c r="DM20" s="43">
        <v>0</v>
      </c>
      <c r="DN20" s="43">
        <v>0</v>
      </c>
      <c r="DO20" s="43">
        <v>0</v>
      </c>
      <c r="DP20" s="43">
        <v>0</v>
      </c>
      <c r="DQ20" s="43">
        <v>683016870.98000002</v>
      </c>
      <c r="DR20" s="43">
        <v>-19874073.120000005</v>
      </c>
      <c r="DS20" s="43">
        <v>166387166.88</v>
      </c>
      <c r="DT20" s="43">
        <v>0</v>
      </c>
      <c r="DU20" s="43">
        <v>145035720.66</v>
      </c>
      <c r="DV20" s="43">
        <v>0</v>
      </c>
      <c r="DW20" s="43">
        <v>-301787722.62</v>
      </c>
      <c r="DX20" s="43">
        <v>-29509238.039999962</v>
      </c>
      <c r="DY20" s="43">
        <v>4578797206.54</v>
      </c>
      <c r="DZ20" s="43">
        <v>4578797206.54</v>
      </c>
      <c r="EA20" s="43">
        <v>0</v>
      </c>
      <c r="EB20" s="43">
        <v>0</v>
      </c>
      <c r="EC20" s="43">
        <v>1049647593.0835915</v>
      </c>
      <c r="ED20" s="43">
        <v>1049647593.0835915</v>
      </c>
      <c r="EE20" s="43">
        <v>0</v>
      </c>
      <c r="EF20" s="43">
        <v>0</v>
      </c>
      <c r="EG20" s="51"/>
      <c r="EH20" s="51"/>
      <c r="EI20" s="51"/>
    </row>
    <row r="21" spans="1:139" ht="12.75" customHeight="1">
      <c r="A21" s="40" t="s">
        <v>7</v>
      </c>
      <c r="B21" s="41">
        <v>1018</v>
      </c>
      <c r="C21" s="42" t="s">
        <v>415</v>
      </c>
      <c r="D21" s="43">
        <v>8143534937.1500006</v>
      </c>
      <c r="E21" s="43">
        <v>4655304.41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4655304.41</v>
      </c>
      <c r="N21" s="43">
        <v>410041949.94</v>
      </c>
      <c r="O21" s="43">
        <v>410041949.94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-76300</v>
      </c>
      <c r="V21" s="43">
        <v>0</v>
      </c>
      <c r="W21" s="43">
        <v>0</v>
      </c>
      <c r="X21" s="43">
        <v>0</v>
      </c>
      <c r="Y21" s="43">
        <v>0</v>
      </c>
      <c r="Z21" s="43">
        <v>-76300</v>
      </c>
      <c r="AA21" s="43">
        <v>0</v>
      </c>
      <c r="AB21" s="43">
        <v>260536397.54000002</v>
      </c>
      <c r="AC21" s="43">
        <v>49574301.770000003</v>
      </c>
      <c r="AD21" s="43">
        <v>192323903.74000001</v>
      </c>
      <c r="AE21" s="43">
        <v>19255801.780000001</v>
      </c>
      <c r="AF21" s="43">
        <v>-617609.75</v>
      </c>
      <c r="AG21" s="43">
        <v>7158395185.3100004</v>
      </c>
      <c r="AH21" s="43">
        <v>4089034821.6000009</v>
      </c>
      <c r="AI21" s="43">
        <v>46859703.039999999</v>
      </c>
      <c r="AJ21" s="43">
        <v>0</v>
      </c>
      <c r="AK21" s="43">
        <v>3022500660.6699996</v>
      </c>
      <c r="AL21" s="43">
        <v>0</v>
      </c>
      <c r="AM21" s="43">
        <v>0</v>
      </c>
      <c r="AN21" s="43">
        <v>257009088.35000002</v>
      </c>
      <c r="AO21" s="43">
        <v>251958362.74000001</v>
      </c>
      <c r="AP21" s="43">
        <v>5050725.6100000003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11785225.210000001</v>
      </c>
      <c r="AW21" s="43">
        <v>0</v>
      </c>
      <c r="AX21" s="43">
        <v>0</v>
      </c>
      <c r="AY21" s="43">
        <v>11785225.210000001</v>
      </c>
      <c r="AZ21" s="43">
        <v>40743387.229999997</v>
      </c>
      <c r="BA21" s="43">
        <v>40743387.229999997</v>
      </c>
      <c r="BB21" s="43">
        <v>0</v>
      </c>
      <c r="BC21" s="43">
        <v>0</v>
      </c>
      <c r="BD21" s="43">
        <v>444699.16</v>
      </c>
      <c r="BE21" s="43">
        <v>0</v>
      </c>
      <c r="BF21" s="43">
        <v>0</v>
      </c>
      <c r="BG21" s="43">
        <v>444699.16</v>
      </c>
      <c r="BH21" s="43">
        <v>56612725.289999999</v>
      </c>
      <c r="BI21" s="43">
        <v>35687033.810000002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35687033.810000002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12782489.989999995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12782489.989999995</v>
      </c>
      <c r="CQ21" s="43">
        <v>0</v>
      </c>
      <c r="CR21" s="43">
        <v>0</v>
      </c>
      <c r="CS21" s="43">
        <v>0</v>
      </c>
      <c r="CT21" s="43">
        <v>0</v>
      </c>
      <c r="CU21" s="43">
        <v>8143201.4900000002</v>
      </c>
      <c r="CV21" s="43">
        <v>8143201.4900000002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2497941520.9200001</v>
      </c>
      <c r="DF21" s="43">
        <v>1952000000</v>
      </c>
      <c r="DG21" s="43">
        <v>1952000000</v>
      </c>
      <c r="DH21" s="43">
        <v>0</v>
      </c>
      <c r="DI21" s="43">
        <v>0</v>
      </c>
      <c r="DJ21" s="43">
        <v>0</v>
      </c>
      <c r="DK21" s="43">
        <v>0</v>
      </c>
      <c r="DL21" s="43">
        <v>0</v>
      </c>
      <c r="DM21" s="43">
        <v>0</v>
      </c>
      <c r="DN21" s="43">
        <v>0</v>
      </c>
      <c r="DO21" s="43">
        <v>0</v>
      </c>
      <c r="DP21" s="43">
        <v>0</v>
      </c>
      <c r="DQ21" s="43">
        <v>0</v>
      </c>
      <c r="DR21" s="43">
        <v>-15529669.100000001</v>
      </c>
      <c r="DS21" s="43">
        <v>6804969.7199999997</v>
      </c>
      <c r="DT21" s="43">
        <v>0</v>
      </c>
      <c r="DU21" s="43">
        <v>0</v>
      </c>
      <c r="DV21" s="43">
        <v>0</v>
      </c>
      <c r="DW21" s="43">
        <v>0</v>
      </c>
      <c r="DX21" s="43">
        <v>-22334638.82</v>
      </c>
      <c r="DY21" s="43">
        <v>123240321.77</v>
      </c>
      <c r="DZ21" s="43">
        <v>123240321.77</v>
      </c>
      <c r="EA21" s="43">
        <v>0</v>
      </c>
      <c r="EB21" s="43">
        <v>0</v>
      </c>
      <c r="EC21" s="43">
        <v>438230868.25</v>
      </c>
      <c r="ED21" s="43">
        <v>438230868.25</v>
      </c>
      <c r="EE21" s="43">
        <v>0</v>
      </c>
      <c r="EF21" s="43">
        <v>0</v>
      </c>
      <c r="EG21" s="51"/>
      <c r="EH21" s="51"/>
      <c r="EI21" s="51"/>
    </row>
    <row r="22" spans="1:139" ht="12.75" customHeight="1">
      <c r="A22" s="40" t="s">
        <v>8</v>
      </c>
      <c r="B22" s="41">
        <v>1020</v>
      </c>
      <c r="C22" s="42" t="s">
        <v>415</v>
      </c>
      <c r="D22" s="43">
        <v>129485614598.74982</v>
      </c>
      <c r="E22" s="43">
        <v>15750488983.68</v>
      </c>
      <c r="F22" s="43">
        <v>0</v>
      </c>
      <c r="G22" s="43">
        <v>93985356.909999996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15656503626.77</v>
      </c>
      <c r="N22" s="43">
        <v>23376490799.179871</v>
      </c>
      <c r="O22" s="43">
        <v>23376490799.18</v>
      </c>
      <c r="P22" s="43">
        <v>-1.3061531353741884E-4</v>
      </c>
      <c r="Q22" s="43">
        <v>0</v>
      </c>
      <c r="R22" s="43">
        <v>0</v>
      </c>
      <c r="S22" s="43">
        <v>0</v>
      </c>
      <c r="T22" s="43">
        <v>0</v>
      </c>
      <c r="U22" s="43">
        <v>3005281158.5699997</v>
      </c>
      <c r="V22" s="43">
        <v>3005164697.8299999</v>
      </c>
      <c r="W22" s="43">
        <v>0</v>
      </c>
      <c r="X22" s="43">
        <v>0</v>
      </c>
      <c r="Y22" s="43">
        <v>0</v>
      </c>
      <c r="Z22" s="43">
        <v>116460.74000000002</v>
      </c>
      <c r="AA22" s="43">
        <v>0</v>
      </c>
      <c r="AB22" s="43">
        <v>1710952171.0599999</v>
      </c>
      <c r="AC22" s="43">
        <v>0</v>
      </c>
      <c r="AD22" s="43">
        <v>335786373.92000002</v>
      </c>
      <c r="AE22" s="43">
        <v>1375165797.1399999</v>
      </c>
      <c r="AF22" s="43">
        <v>0</v>
      </c>
      <c r="AG22" s="43">
        <v>73307234425.839966</v>
      </c>
      <c r="AH22" s="43">
        <v>44501562352.510002</v>
      </c>
      <c r="AI22" s="43">
        <v>789800632.15999997</v>
      </c>
      <c r="AJ22" s="43">
        <v>0</v>
      </c>
      <c r="AK22" s="43">
        <v>27782936963.989975</v>
      </c>
      <c r="AL22" s="43">
        <v>0</v>
      </c>
      <c r="AM22" s="43">
        <v>232934477.18000001</v>
      </c>
      <c r="AN22" s="43">
        <v>3992902755.6899872</v>
      </c>
      <c r="AO22" s="43">
        <v>791949840.08998668</v>
      </c>
      <c r="AP22" s="43">
        <v>117760770.38000001</v>
      </c>
      <c r="AQ22" s="43">
        <v>0</v>
      </c>
      <c r="AR22" s="43">
        <v>0</v>
      </c>
      <c r="AS22" s="43">
        <v>3745875652.0100002</v>
      </c>
      <c r="AT22" s="43">
        <v>-662683506.78999996</v>
      </c>
      <c r="AU22" s="43">
        <v>0</v>
      </c>
      <c r="AV22" s="43">
        <v>1589660910.1099999</v>
      </c>
      <c r="AW22" s="43">
        <v>0</v>
      </c>
      <c r="AX22" s="43">
        <v>0</v>
      </c>
      <c r="AY22" s="43">
        <v>1589660910.1099999</v>
      </c>
      <c r="AZ22" s="43">
        <v>6752603394.6199999</v>
      </c>
      <c r="BA22" s="43">
        <v>6752603394.6199999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2788037554.5599999</v>
      </c>
      <c r="BI22" s="43">
        <v>52865133.07</v>
      </c>
      <c r="BJ22" s="43">
        <v>0</v>
      </c>
      <c r="BK22" s="43">
        <v>52865133.07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0</v>
      </c>
      <c r="CB22" s="43">
        <v>0</v>
      </c>
      <c r="CC22" s="43">
        <v>0</v>
      </c>
      <c r="CD22" s="43">
        <v>0</v>
      </c>
      <c r="CE22" s="43">
        <v>99755797.179999933</v>
      </c>
      <c r="CF22" s="43">
        <v>99755797.179999933</v>
      </c>
      <c r="CG22" s="43">
        <v>0</v>
      </c>
      <c r="CH22" s="43">
        <v>0</v>
      </c>
      <c r="CI22" s="43">
        <v>0</v>
      </c>
      <c r="CJ22" s="43">
        <v>1026006093.8699999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1026006093.8699999</v>
      </c>
      <c r="CQ22" s="43">
        <v>0</v>
      </c>
      <c r="CR22" s="43">
        <v>0</v>
      </c>
      <c r="CS22" s="43">
        <v>0</v>
      </c>
      <c r="CT22" s="43">
        <v>0</v>
      </c>
      <c r="CU22" s="43">
        <v>269337308.80000001</v>
      </c>
      <c r="CV22" s="43">
        <v>269337308.80000001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1340073221.6400001</v>
      </c>
      <c r="DC22" s="43">
        <v>1340073221.6400001</v>
      </c>
      <c r="DD22" s="43">
        <v>0</v>
      </c>
      <c r="DE22" s="43">
        <v>61056076456.350006</v>
      </c>
      <c r="DF22" s="43">
        <v>20000000000</v>
      </c>
      <c r="DG22" s="43">
        <v>20000000000</v>
      </c>
      <c r="DH22" s="43">
        <v>0</v>
      </c>
      <c r="DI22" s="43">
        <v>0</v>
      </c>
      <c r="DJ22" s="43">
        <v>0</v>
      </c>
      <c r="DK22" s="43">
        <v>0</v>
      </c>
      <c r="DL22" s="43">
        <v>728985408.20000005</v>
      </c>
      <c r="DM22" s="43">
        <v>692314994.33000004</v>
      </c>
      <c r="DN22" s="43">
        <v>0</v>
      </c>
      <c r="DO22" s="43">
        <v>0</v>
      </c>
      <c r="DP22" s="43">
        <v>0</v>
      </c>
      <c r="DQ22" s="43">
        <v>36670413.869999997</v>
      </c>
      <c r="DR22" s="43">
        <v>26850925424.880001</v>
      </c>
      <c r="DS22" s="43">
        <v>2450519971.3800001</v>
      </c>
      <c r="DT22" s="43">
        <v>0</v>
      </c>
      <c r="DU22" s="43">
        <v>12193202974.860001</v>
      </c>
      <c r="DV22" s="43">
        <v>0</v>
      </c>
      <c r="DW22" s="43">
        <v>10009755379.849998</v>
      </c>
      <c r="DX22" s="43">
        <v>2197447098.79</v>
      </c>
      <c r="DY22" s="43">
        <v>25474204.989999998</v>
      </c>
      <c r="DZ22" s="43">
        <v>25474204.989999998</v>
      </c>
      <c r="EA22" s="43">
        <v>0</v>
      </c>
      <c r="EB22" s="43">
        <v>0</v>
      </c>
      <c r="EC22" s="43">
        <v>13450691418.28001</v>
      </c>
      <c r="ED22" s="43">
        <v>13450691418.28001</v>
      </c>
      <c r="EE22" s="43">
        <v>0</v>
      </c>
      <c r="EF22" s="43">
        <v>0</v>
      </c>
      <c r="EG22" s="51"/>
      <c r="EH22" s="51"/>
      <c r="EI22" s="51"/>
    </row>
    <row r="23" spans="1:139" ht="12.75" customHeight="1">
      <c r="A23" s="40" t="s">
        <v>66</v>
      </c>
      <c r="B23" s="41">
        <v>1022</v>
      </c>
      <c r="C23" s="42" t="s">
        <v>415</v>
      </c>
      <c r="D23" s="43">
        <v>55057949769.260002</v>
      </c>
      <c r="E23" s="43">
        <v>33696767.800000012</v>
      </c>
      <c r="F23" s="43">
        <v>0</v>
      </c>
      <c r="G23" s="43">
        <v>141480087.02000001</v>
      </c>
      <c r="H23" s="43">
        <v>-107783319.22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4416214903.5699997</v>
      </c>
      <c r="O23" s="43">
        <v>4032398038.3400002</v>
      </c>
      <c r="P23" s="43">
        <v>15878.37</v>
      </c>
      <c r="Q23" s="43">
        <v>0</v>
      </c>
      <c r="R23" s="43">
        <v>0</v>
      </c>
      <c r="S23" s="43">
        <v>383800986.86000001</v>
      </c>
      <c r="T23" s="43">
        <v>0</v>
      </c>
      <c r="U23" s="43">
        <v>692163.56</v>
      </c>
      <c r="V23" s="43">
        <v>0</v>
      </c>
      <c r="W23" s="43">
        <v>0</v>
      </c>
      <c r="X23" s="43">
        <v>0</v>
      </c>
      <c r="Y23" s="43">
        <v>0</v>
      </c>
      <c r="Z23" s="43">
        <v>692163.56</v>
      </c>
      <c r="AA23" s="43">
        <v>0</v>
      </c>
      <c r="AB23" s="43">
        <v>1153658356.8299999</v>
      </c>
      <c r="AC23" s="43">
        <v>120994977.86</v>
      </c>
      <c r="AD23" s="43">
        <v>497711587.80000001</v>
      </c>
      <c r="AE23" s="43">
        <v>534951791.16999996</v>
      </c>
      <c r="AF23" s="43">
        <v>0</v>
      </c>
      <c r="AG23" s="43">
        <v>46413086353.639999</v>
      </c>
      <c r="AH23" s="43">
        <v>19871497301.650002</v>
      </c>
      <c r="AI23" s="43">
        <v>249070392.22999999</v>
      </c>
      <c r="AJ23" s="43">
        <v>0</v>
      </c>
      <c r="AK23" s="43">
        <v>26242518659.759995</v>
      </c>
      <c r="AL23" s="43">
        <v>0</v>
      </c>
      <c r="AM23" s="43">
        <v>50000000</v>
      </c>
      <c r="AN23" s="43">
        <v>800926965.23000014</v>
      </c>
      <c r="AO23" s="43">
        <v>718094629.07000005</v>
      </c>
      <c r="AP23" s="43">
        <v>45465251.68</v>
      </c>
      <c r="AQ23" s="43">
        <v>0</v>
      </c>
      <c r="AR23" s="43">
        <v>0</v>
      </c>
      <c r="AS23" s="43">
        <v>1091400268.6500001</v>
      </c>
      <c r="AT23" s="43">
        <v>-1054033184.17</v>
      </c>
      <c r="AU23" s="43">
        <v>0</v>
      </c>
      <c r="AV23" s="43">
        <v>1071096481.52</v>
      </c>
      <c r="AW23" s="43">
        <v>0</v>
      </c>
      <c r="AX23" s="43">
        <v>0</v>
      </c>
      <c r="AY23" s="43">
        <v>1071096481.52</v>
      </c>
      <c r="AZ23" s="43">
        <v>1168577777.1099999</v>
      </c>
      <c r="BA23" s="43">
        <v>1168577777.1099999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2265369694.7200003</v>
      </c>
      <c r="BI23" s="43">
        <v>287697474.45000005</v>
      </c>
      <c r="BJ23" s="43">
        <v>0</v>
      </c>
      <c r="BK23" s="43">
        <v>696279095.72000003</v>
      </c>
      <c r="BL23" s="43">
        <v>-408581621.26999998</v>
      </c>
      <c r="BM23" s="43">
        <v>0</v>
      </c>
      <c r="BN23" s="43">
        <v>0</v>
      </c>
      <c r="BO23" s="43">
        <v>0</v>
      </c>
      <c r="BP23" s="43">
        <v>0</v>
      </c>
      <c r="BQ23" s="43">
        <v>121239523.23</v>
      </c>
      <c r="BR23" s="43">
        <v>0</v>
      </c>
      <c r="BS23" s="43">
        <v>0</v>
      </c>
      <c r="BT23" s="43">
        <v>121239523.23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983714530.05999994</v>
      </c>
      <c r="CK23" s="43">
        <v>0</v>
      </c>
      <c r="CL23" s="43">
        <v>0</v>
      </c>
      <c r="CM23" s="43">
        <v>129099</v>
      </c>
      <c r="CN23" s="43">
        <v>0</v>
      </c>
      <c r="CO23" s="43">
        <v>0</v>
      </c>
      <c r="CP23" s="43">
        <v>983585431.05999994</v>
      </c>
      <c r="CQ23" s="43">
        <v>0</v>
      </c>
      <c r="CR23" s="43">
        <v>0</v>
      </c>
      <c r="CS23" s="43">
        <v>0</v>
      </c>
      <c r="CT23" s="43">
        <v>0</v>
      </c>
      <c r="CU23" s="43">
        <v>872718166.98000002</v>
      </c>
      <c r="CV23" s="43">
        <v>106221089.66</v>
      </c>
      <c r="CW23" s="43">
        <v>766497077.32000005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11240501107.059999</v>
      </c>
      <c r="DF23" s="43">
        <v>1632294520</v>
      </c>
      <c r="DG23" s="43">
        <v>1632294520</v>
      </c>
      <c r="DH23" s="43">
        <v>0</v>
      </c>
      <c r="DI23" s="43">
        <v>0</v>
      </c>
      <c r="DJ23" s="43">
        <v>0</v>
      </c>
      <c r="DK23" s="43">
        <v>0</v>
      </c>
      <c r="DL23" s="43">
        <v>0</v>
      </c>
      <c r="DM23" s="43">
        <v>0</v>
      </c>
      <c r="DN23" s="43">
        <v>0</v>
      </c>
      <c r="DO23" s="43">
        <v>0</v>
      </c>
      <c r="DP23" s="43">
        <v>0</v>
      </c>
      <c r="DQ23" s="43">
        <v>0</v>
      </c>
      <c r="DR23" s="43">
        <v>260723786.99000001</v>
      </c>
      <c r="DS23" s="43">
        <v>326458904</v>
      </c>
      <c r="DT23" s="43">
        <v>0</v>
      </c>
      <c r="DU23" s="43">
        <v>136440962.47999999</v>
      </c>
      <c r="DV23" s="43">
        <v>2380654.7599999998</v>
      </c>
      <c r="DW23" s="43">
        <v>-204060067.25</v>
      </c>
      <c r="DX23" s="43">
        <v>-496667</v>
      </c>
      <c r="DY23" s="43">
        <v>7616196866.1700001</v>
      </c>
      <c r="DZ23" s="43">
        <v>7616196866.1700001</v>
      </c>
      <c r="EA23" s="43">
        <v>-298327858.49000001</v>
      </c>
      <c r="EB23" s="43">
        <v>-298327858.49000001</v>
      </c>
      <c r="EC23" s="43">
        <v>2029613792.3899999</v>
      </c>
      <c r="ED23" s="43">
        <v>2029613792.3899999</v>
      </c>
      <c r="EE23" s="43">
        <v>0</v>
      </c>
      <c r="EF23" s="43">
        <v>0</v>
      </c>
      <c r="EG23" s="51"/>
      <c r="EH23" s="51"/>
      <c r="EI23" s="51"/>
    </row>
    <row r="24" spans="1:139" ht="12.75" customHeight="1">
      <c r="A24" s="40" t="s">
        <v>9</v>
      </c>
      <c r="B24" s="41">
        <v>1025</v>
      </c>
      <c r="C24" s="42" t="s">
        <v>415</v>
      </c>
      <c r="D24" s="43">
        <v>13549494896.900003</v>
      </c>
      <c r="E24" s="43">
        <v>19704634.440000001</v>
      </c>
      <c r="F24" s="43">
        <v>0</v>
      </c>
      <c r="G24" s="43">
        <v>19704634.440000001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2575472415.5900002</v>
      </c>
      <c r="O24" s="43">
        <v>878163693.30999994</v>
      </c>
      <c r="P24" s="43">
        <v>0</v>
      </c>
      <c r="Q24" s="43">
        <v>0</v>
      </c>
      <c r="R24" s="43">
        <v>0</v>
      </c>
      <c r="S24" s="43">
        <v>1990684111.28</v>
      </c>
      <c r="T24" s="43">
        <v>-293375389</v>
      </c>
      <c r="U24" s="43">
        <v>1846684.88</v>
      </c>
      <c r="V24" s="43">
        <v>2127.06</v>
      </c>
      <c r="W24" s="43">
        <v>0</v>
      </c>
      <c r="X24" s="43">
        <v>1571815.2</v>
      </c>
      <c r="Y24" s="43">
        <v>2250</v>
      </c>
      <c r="Z24" s="43">
        <v>270492.62</v>
      </c>
      <c r="AA24" s="43">
        <v>0</v>
      </c>
      <c r="AB24" s="43">
        <v>165550177.61000001</v>
      </c>
      <c r="AC24" s="43">
        <v>0</v>
      </c>
      <c r="AD24" s="43">
        <v>138482391.03</v>
      </c>
      <c r="AE24" s="43">
        <v>37188791.579999998</v>
      </c>
      <c r="AF24" s="43">
        <v>-10121005</v>
      </c>
      <c r="AG24" s="43">
        <v>9395350276.7200012</v>
      </c>
      <c r="AH24" s="43">
        <v>4699563461.5700006</v>
      </c>
      <c r="AI24" s="43">
        <v>472068319.51000005</v>
      </c>
      <c r="AJ24" s="43">
        <v>0</v>
      </c>
      <c r="AK24" s="43">
        <v>4223718495.6400003</v>
      </c>
      <c r="AL24" s="43">
        <v>0</v>
      </c>
      <c r="AM24" s="43">
        <v>0</v>
      </c>
      <c r="AN24" s="43">
        <v>252141095.9600001</v>
      </c>
      <c r="AO24" s="43">
        <v>161483051.55000004</v>
      </c>
      <c r="AP24" s="43">
        <v>11688152.560000001</v>
      </c>
      <c r="AQ24" s="43">
        <v>0</v>
      </c>
      <c r="AR24" s="43">
        <v>0</v>
      </c>
      <c r="AS24" s="43">
        <v>447186640.06</v>
      </c>
      <c r="AT24" s="43">
        <v>-368216748.20999998</v>
      </c>
      <c r="AU24" s="43">
        <v>0</v>
      </c>
      <c r="AV24" s="43">
        <v>9361933.290000001</v>
      </c>
      <c r="AW24" s="43">
        <v>0</v>
      </c>
      <c r="AX24" s="43">
        <v>0</v>
      </c>
      <c r="AY24" s="43">
        <v>9361933.290000001</v>
      </c>
      <c r="AZ24" s="43">
        <v>1130067678.4100001</v>
      </c>
      <c r="BA24" s="43">
        <v>908190905.63</v>
      </c>
      <c r="BB24" s="43">
        <v>221876772.78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413169304.05000001</v>
      </c>
      <c r="BI24" s="43">
        <v>97643406.469999999</v>
      </c>
      <c r="BJ24" s="43">
        <v>0</v>
      </c>
      <c r="BK24" s="43">
        <v>97643406.469999999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</v>
      </c>
      <c r="CB24" s="43">
        <v>0</v>
      </c>
      <c r="CC24" s="43">
        <v>0</v>
      </c>
      <c r="CD24" s="43">
        <v>0</v>
      </c>
      <c r="CE24" s="43">
        <v>25850655.18</v>
      </c>
      <c r="CF24" s="43">
        <v>25850655.18</v>
      </c>
      <c r="CG24" s="43">
        <v>0</v>
      </c>
      <c r="CH24" s="43">
        <v>0</v>
      </c>
      <c r="CI24" s="43">
        <v>0</v>
      </c>
      <c r="CJ24" s="43">
        <v>178340069.83000001</v>
      </c>
      <c r="CK24" s="43">
        <v>0</v>
      </c>
      <c r="CL24" s="43">
        <v>0</v>
      </c>
      <c r="CM24" s="43">
        <v>61459.4</v>
      </c>
      <c r="CN24" s="43">
        <v>0</v>
      </c>
      <c r="CO24" s="43">
        <v>0</v>
      </c>
      <c r="CP24" s="43">
        <v>178278610.43000001</v>
      </c>
      <c r="CQ24" s="43">
        <v>0</v>
      </c>
      <c r="CR24" s="43">
        <v>0</v>
      </c>
      <c r="CS24" s="43">
        <v>0</v>
      </c>
      <c r="CT24" s="43">
        <v>0</v>
      </c>
      <c r="CU24" s="43">
        <v>42183517.329999998</v>
      </c>
      <c r="CV24" s="43">
        <v>42183517.329999998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69151655.239999995</v>
      </c>
      <c r="DC24" s="43">
        <v>69151655.239999995</v>
      </c>
      <c r="DD24" s="43">
        <v>0</v>
      </c>
      <c r="DE24" s="43">
        <v>3186159396.2800002</v>
      </c>
      <c r="DF24" s="43">
        <v>950000000</v>
      </c>
      <c r="DG24" s="43">
        <v>950000000</v>
      </c>
      <c r="DH24" s="43">
        <v>0</v>
      </c>
      <c r="DI24" s="43">
        <v>0</v>
      </c>
      <c r="DJ24" s="43">
        <v>0</v>
      </c>
      <c r="DK24" s="43">
        <v>0</v>
      </c>
      <c r="DL24" s="43">
        <v>27224651.75</v>
      </c>
      <c r="DM24" s="43">
        <v>27224651.75</v>
      </c>
      <c r="DN24" s="43">
        <v>0</v>
      </c>
      <c r="DO24" s="43">
        <v>0</v>
      </c>
      <c r="DP24" s="43">
        <v>0</v>
      </c>
      <c r="DQ24" s="43">
        <v>0</v>
      </c>
      <c r="DR24" s="43">
        <v>1163168608.76</v>
      </c>
      <c r="DS24" s="43">
        <v>42963624.640000001</v>
      </c>
      <c r="DT24" s="43">
        <v>0</v>
      </c>
      <c r="DU24" s="43">
        <v>732507154.65999997</v>
      </c>
      <c r="DV24" s="43">
        <v>2277745.7599999998</v>
      </c>
      <c r="DW24" s="43">
        <v>391859379.69999999</v>
      </c>
      <c r="DX24" s="43">
        <v>-6439296</v>
      </c>
      <c r="DY24" s="43">
        <v>689725466.33000004</v>
      </c>
      <c r="DZ24" s="43">
        <v>689725466.33000004</v>
      </c>
      <c r="EA24" s="43">
        <v>0</v>
      </c>
      <c r="EB24" s="43">
        <v>0</v>
      </c>
      <c r="EC24" s="43">
        <v>356040669.44</v>
      </c>
      <c r="ED24" s="43">
        <v>356040669.44</v>
      </c>
      <c r="EE24" s="43">
        <v>0</v>
      </c>
      <c r="EF24" s="43">
        <v>0</v>
      </c>
      <c r="EG24" s="51"/>
      <c r="EH24" s="51"/>
      <c r="EI24" s="51"/>
    </row>
    <row r="25" spans="1:139" ht="12.75" customHeight="1">
      <c r="A25" s="40" t="s">
        <v>71</v>
      </c>
      <c r="B25" s="41">
        <v>1027</v>
      </c>
      <c r="C25" s="42" t="s">
        <v>415</v>
      </c>
      <c r="D25" s="43">
        <v>4255449470.0398808</v>
      </c>
      <c r="E25" s="43">
        <v>4077953.3199999952</v>
      </c>
      <c r="F25" s="43">
        <v>0</v>
      </c>
      <c r="G25" s="43">
        <v>4076230.8799999952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1722.44</v>
      </c>
      <c r="N25" s="43">
        <v>350481416.81999975</v>
      </c>
      <c r="O25" s="43">
        <v>294458193.21000004</v>
      </c>
      <c r="P25" s="43">
        <v>25199135.060000002</v>
      </c>
      <c r="Q25" s="43">
        <v>0</v>
      </c>
      <c r="R25" s="43">
        <v>0</v>
      </c>
      <c r="S25" s="43">
        <v>30824088.549999714</v>
      </c>
      <c r="T25" s="43">
        <v>0</v>
      </c>
      <c r="U25" s="43">
        <v>51257565.470000014</v>
      </c>
      <c r="V25" s="43">
        <v>0</v>
      </c>
      <c r="W25" s="43">
        <v>0</v>
      </c>
      <c r="X25" s="43">
        <v>0</v>
      </c>
      <c r="Y25" s="43">
        <v>0</v>
      </c>
      <c r="Z25" s="43">
        <v>172386.99000000954</v>
      </c>
      <c r="AA25" s="43">
        <v>51085178.480000004</v>
      </c>
      <c r="AB25" s="43">
        <v>171785419.15000004</v>
      </c>
      <c r="AC25" s="43">
        <v>67865647.840000004</v>
      </c>
      <c r="AD25" s="43">
        <v>-5552.4700000286102</v>
      </c>
      <c r="AE25" s="43">
        <v>103925323.78000008</v>
      </c>
      <c r="AF25" s="43">
        <v>0</v>
      </c>
      <c r="AG25" s="43">
        <v>3535961830.6798811</v>
      </c>
      <c r="AH25" s="43">
        <v>1172329990.9900141</v>
      </c>
      <c r="AI25" s="43">
        <v>3142412.8300000955</v>
      </c>
      <c r="AJ25" s="43">
        <v>0</v>
      </c>
      <c r="AK25" s="43">
        <v>2360489426.8598666</v>
      </c>
      <c r="AL25" s="43">
        <v>0</v>
      </c>
      <c r="AM25" s="43">
        <v>0</v>
      </c>
      <c r="AN25" s="43">
        <v>48082547.28000012</v>
      </c>
      <c r="AO25" s="43">
        <v>27114111.140000105</v>
      </c>
      <c r="AP25" s="43">
        <v>13705284.24000001</v>
      </c>
      <c r="AQ25" s="43">
        <v>0</v>
      </c>
      <c r="AR25" s="43">
        <v>7263151.900000006</v>
      </c>
      <c r="AS25" s="43">
        <v>0</v>
      </c>
      <c r="AT25" s="43">
        <v>0</v>
      </c>
      <c r="AU25" s="43">
        <v>0</v>
      </c>
      <c r="AV25" s="43">
        <v>17676754.579999998</v>
      </c>
      <c r="AW25" s="43">
        <v>0</v>
      </c>
      <c r="AX25" s="43">
        <v>0</v>
      </c>
      <c r="AY25" s="43">
        <v>17676754.579999998</v>
      </c>
      <c r="AZ25" s="43">
        <v>76133495.599999905</v>
      </c>
      <c r="BA25" s="43">
        <v>76133495.599999905</v>
      </c>
      <c r="BB25" s="43">
        <v>0</v>
      </c>
      <c r="BC25" s="43">
        <v>0</v>
      </c>
      <c r="BD25" s="43">
        <v>-7512.8600001335144</v>
      </c>
      <c r="BE25" s="43">
        <v>0</v>
      </c>
      <c r="BF25" s="43">
        <v>0</v>
      </c>
      <c r="BG25" s="43">
        <v>-7512.8600001335144</v>
      </c>
      <c r="BH25" s="43">
        <v>103626184.45999998</v>
      </c>
      <c r="BI25" s="43">
        <v>15869655.619999997</v>
      </c>
      <c r="BJ25" s="43">
        <v>0</v>
      </c>
      <c r="BK25" s="43">
        <v>15869655.619999997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70990827.049999982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70990827.049999982</v>
      </c>
      <c r="CQ25" s="43">
        <v>0</v>
      </c>
      <c r="CR25" s="43">
        <v>0</v>
      </c>
      <c r="CS25" s="43">
        <v>0</v>
      </c>
      <c r="CT25" s="43">
        <v>0</v>
      </c>
      <c r="CU25" s="43">
        <v>16765701.789999999</v>
      </c>
      <c r="CV25" s="43">
        <v>16765701.789999999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</v>
      </c>
      <c r="DC25" s="43">
        <v>0</v>
      </c>
      <c r="DD25" s="43">
        <v>0</v>
      </c>
      <c r="DE25" s="43">
        <v>-141344433.25999475</v>
      </c>
      <c r="DF25" s="43">
        <v>1200000000</v>
      </c>
      <c r="DG25" s="43">
        <v>1200000000</v>
      </c>
      <c r="DH25" s="43">
        <v>0</v>
      </c>
      <c r="DI25" s="43">
        <v>0</v>
      </c>
      <c r="DJ25" s="43">
        <v>0</v>
      </c>
      <c r="DK25" s="43">
        <v>0</v>
      </c>
      <c r="DL25" s="43">
        <v>345000000</v>
      </c>
      <c r="DM25" s="43">
        <v>0</v>
      </c>
      <c r="DN25" s="43">
        <v>0</v>
      </c>
      <c r="DO25" s="43">
        <v>0</v>
      </c>
      <c r="DP25" s="43">
        <v>0</v>
      </c>
      <c r="DQ25" s="43">
        <v>345000000</v>
      </c>
      <c r="DR25" s="43">
        <v>-3906192.1599999885</v>
      </c>
      <c r="DS25" s="43">
        <v>602600</v>
      </c>
      <c r="DT25" s="43">
        <v>0</v>
      </c>
      <c r="DU25" s="43">
        <v>3276257.68</v>
      </c>
      <c r="DV25" s="43">
        <v>0</v>
      </c>
      <c r="DW25" s="43">
        <v>0</v>
      </c>
      <c r="DX25" s="43">
        <v>-7785049.8399999887</v>
      </c>
      <c r="DY25" s="43">
        <v>0</v>
      </c>
      <c r="DZ25" s="43">
        <v>0</v>
      </c>
      <c r="EA25" s="43">
        <v>-1403197491.4200001</v>
      </c>
      <c r="EB25" s="43">
        <v>-1403197491.4200001</v>
      </c>
      <c r="EC25" s="43">
        <v>-279240749.67999458</v>
      </c>
      <c r="ED25" s="43">
        <v>0</v>
      </c>
      <c r="EE25" s="43">
        <v>-279240749.67999458</v>
      </c>
      <c r="EF25" s="43">
        <v>0</v>
      </c>
      <c r="EG25" s="51"/>
      <c r="EH25" s="51"/>
      <c r="EI25" s="51"/>
    </row>
    <row r="26" spans="1:139" ht="12.75" customHeight="1">
      <c r="A26" s="40" t="s">
        <v>10</v>
      </c>
      <c r="B26" s="41">
        <v>1028</v>
      </c>
      <c r="C26" s="42" t="s">
        <v>415</v>
      </c>
      <c r="D26" s="43">
        <v>25518804529.839996</v>
      </c>
      <c r="E26" s="43">
        <v>29475520.710000001</v>
      </c>
      <c r="F26" s="43">
        <v>0</v>
      </c>
      <c r="G26" s="43">
        <v>-7348006.9900000002</v>
      </c>
      <c r="H26" s="43">
        <v>36823527.700000003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3095442237.8699999</v>
      </c>
      <c r="O26" s="43">
        <v>691041154.16999996</v>
      </c>
      <c r="P26" s="43">
        <v>2404401083.6999998</v>
      </c>
      <c r="Q26" s="43">
        <v>0</v>
      </c>
      <c r="R26" s="43">
        <v>0</v>
      </c>
      <c r="S26" s="43">
        <v>0</v>
      </c>
      <c r="T26" s="43">
        <v>0</v>
      </c>
      <c r="U26" s="43">
        <v>98852035.959999979</v>
      </c>
      <c r="V26" s="43">
        <v>355473.63</v>
      </c>
      <c r="W26" s="43">
        <v>0</v>
      </c>
      <c r="X26" s="43">
        <v>0</v>
      </c>
      <c r="Y26" s="43">
        <v>0</v>
      </c>
      <c r="Z26" s="43">
        <v>96469553.639999986</v>
      </c>
      <c r="AA26" s="43">
        <v>2027008.69</v>
      </c>
      <c r="AB26" s="43">
        <v>1929048473.1900001</v>
      </c>
      <c r="AC26" s="43">
        <v>73890033.260000005</v>
      </c>
      <c r="AD26" s="43">
        <v>207989042.65000001</v>
      </c>
      <c r="AE26" s="43">
        <v>1647169894.6399999</v>
      </c>
      <c r="AF26" s="43">
        <v>-497.36</v>
      </c>
      <c r="AG26" s="43">
        <v>18729344425.709995</v>
      </c>
      <c r="AH26" s="43">
        <v>11572343843.09</v>
      </c>
      <c r="AI26" s="43">
        <v>76419564</v>
      </c>
      <c r="AJ26" s="43">
        <v>0</v>
      </c>
      <c r="AK26" s="43">
        <v>7067268432.1099987</v>
      </c>
      <c r="AL26" s="43">
        <v>13312586.51</v>
      </c>
      <c r="AM26" s="43">
        <v>0</v>
      </c>
      <c r="AN26" s="43">
        <v>636019014.55999994</v>
      </c>
      <c r="AO26" s="43">
        <v>205400507.54000002</v>
      </c>
      <c r="AP26" s="43">
        <v>35607413.109999999</v>
      </c>
      <c r="AQ26" s="43">
        <v>0</v>
      </c>
      <c r="AR26" s="43">
        <v>69765457.00999999</v>
      </c>
      <c r="AS26" s="43">
        <v>325245636.89999998</v>
      </c>
      <c r="AT26" s="43">
        <v>0</v>
      </c>
      <c r="AU26" s="43">
        <v>0</v>
      </c>
      <c r="AV26" s="43">
        <v>387196181.78999996</v>
      </c>
      <c r="AW26" s="43">
        <v>0</v>
      </c>
      <c r="AX26" s="43">
        <v>0</v>
      </c>
      <c r="AY26" s="43">
        <v>387196181.78999996</v>
      </c>
      <c r="AZ26" s="43">
        <v>576774082.12</v>
      </c>
      <c r="BA26" s="43">
        <v>576774082.12</v>
      </c>
      <c r="BB26" s="43">
        <v>0</v>
      </c>
      <c r="BC26" s="43">
        <v>0</v>
      </c>
      <c r="BD26" s="43">
        <v>36652557.93</v>
      </c>
      <c r="BE26" s="43">
        <v>0</v>
      </c>
      <c r="BF26" s="43">
        <v>0</v>
      </c>
      <c r="BG26" s="43">
        <v>36652557.93</v>
      </c>
      <c r="BH26" s="43">
        <v>542701110.97000003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359678302.08000004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359678302.08000004</v>
      </c>
      <c r="CQ26" s="43">
        <v>0</v>
      </c>
      <c r="CR26" s="43">
        <v>0</v>
      </c>
      <c r="CS26" s="43">
        <v>0</v>
      </c>
      <c r="CT26" s="43">
        <v>0</v>
      </c>
      <c r="CU26" s="43">
        <v>106781491.89</v>
      </c>
      <c r="CV26" s="43">
        <v>103212055.72</v>
      </c>
      <c r="CW26" s="43">
        <v>3569436.17</v>
      </c>
      <c r="CX26" s="43">
        <v>0</v>
      </c>
      <c r="CY26" s="43">
        <v>0</v>
      </c>
      <c r="CZ26" s="43">
        <v>0</v>
      </c>
      <c r="DA26" s="43">
        <v>0</v>
      </c>
      <c r="DB26" s="43">
        <v>76241317</v>
      </c>
      <c r="DC26" s="43">
        <v>0</v>
      </c>
      <c r="DD26" s="43">
        <v>76241317</v>
      </c>
      <c r="DE26" s="43">
        <v>7622751579.8200073</v>
      </c>
      <c r="DF26" s="43">
        <v>1690098161</v>
      </c>
      <c r="DG26" s="43">
        <v>1690098161</v>
      </c>
      <c r="DH26" s="43">
        <v>0</v>
      </c>
      <c r="DI26" s="43">
        <v>0</v>
      </c>
      <c r="DJ26" s="43">
        <v>0</v>
      </c>
      <c r="DK26" s="43">
        <v>0</v>
      </c>
      <c r="DL26" s="43">
        <v>0</v>
      </c>
      <c r="DM26" s="43">
        <v>0</v>
      </c>
      <c r="DN26" s="43">
        <v>0</v>
      </c>
      <c r="DO26" s="43">
        <v>0</v>
      </c>
      <c r="DP26" s="43">
        <v>0</v>
      </c>
      <c r="DQ26" s="43">
        <v>0</v>
      </c>
      <c r="DR26" s="43">
        <v>5153528863.4499998</v>
      </c>
      <c r="DS26" s="43">
        <v>284319230.08999997</v>
      </c>
      <c r="DT26" s="43">
        <v>0</v>
      </c>
      <c r="DU26" s="43">
        <v>1843102590.1099999</v>
      </c>
      <c r="DV26" s="43">
        <v>620818157.20000005</v>
      </c>
      <c r="DW26" s="43">
        <v>15445768.9</v>
      </c>
      <c r="DX26" s="43">
        <v>2389843117.1500001</v>
      </c>
      <c r="DY26" s="43">
        <v>-0.32</v>
      </c>
      <c r="DZ26" s="43">
        <v>-0.32</v>
      </c>
      <c r="EA26" s="43">
        <v>-0.49</v>
      </c>
      <c r="EB26" s="43">
        <v>-0.49</v>
      </c>
      <c r="EC26" s="43">
        <v>779124556.18000686</v>
      </c>
      <c r="ED26" s="43">
        <v>779124556.18000686</v>
      </c>
      <c r="EE26" s="43">
        <v>0</v>
      </c>
      <c r="EF26" s="43">
        <v>0</v>
      </c>
      <c r="EG26" s="51"/>
      <c r="EH26" s="51"/>
      <c r="EI26" s="51"/>
    </row>
    <row r="27" spans="1:139" ht="12.75" customHeight="1">
      <c r="A27" s="40" t="s">
        <v>12</v>
      </c>
      <c r="B27" s="41">
        <v>1030</v>
      </c>
      <c r="C27" s="42" t="s">
        <v>415</v>
      </c>
      <c r="D27" s="43">
        <v>46705124498.55999</v>
      </c>
      <c r="E27" s="43">
        <v>109725203.89</v>
      </c>
      <c r="F27" s="43">
        <v>0</v>
      </c>
      <c r="G27" s="43">
        <v>12809989.25</v>
      </c>
      <c r="H27" s="43">
        <v>-635959.11</v>
      </c>
      <c r="I27" s="43">
        <v>0</v>
      </c>
      <c r="J27" s="43">
        <v>0</v>
      </c>
      <c r="K27" s="43">
        <v>0</v>
      </c>
      <c r="L27" s="43">
        <v>0</v>
      </c>
      <c r="M27" s="43">
        <v>97551173.75</v>
      </c>
      <c r="N27" s="43">
        <v>2270832691.1599998</v>
      </c>
      <c r="O27" s="43">
        <v>2109825628.1999998</v>
      </c>
      <c r="P27" s="43">
        <v>0</v>
      </c>
      <c r="Q27" s="43">
        <v>0</v>
      </c>
      <c r="R27" s="43">
        <v>0</v>
      </c>
      <c r="S27" s="43">
        <v>223376823.44</v>
      </c>
      <c r="T27" s="43">
        <v>-62369760.479999997</v>
      </c>
      <c r="U27" s="43">
        <v>661289.97</v>
      </c>
      <c r="V27" s="43">
        <v>0</v>
      </c>
      <c r="W27" s="43">
        <v>0</v>
      </c>
      <c r="X27" s="43">
        <v>0</v>
      </c>
      <c r="Y27" s="43">
        <v>0</v>
      </c>
      <c r="Z27" s="43">
        <v>661289.97</v>
      </c>
      <c r="AA27" s="43">
        <v>0</v>
      </c>
      <c r="AB27" s="43">
        <v>1553521358.1799998</v>
      </c>
      <c r="AC27" s="43">
        <v>91160178.849999994</v>
      </c>
      <c r="AD27" s="43">
        <v>373735895.05000001</v>
      </c>
      <c r="AE27" s="43">
        <v>1153047717.6800001</v>
      </c>
      <c r="AF27" s="43">
        <v>-64422433.399999999</v>
      </c>
      <c r="AG27" s="43">
        <v>40549967524.629997</v>
      </c>
      <c r="AH27" s="43">
        <v>15964628738.309999</v>
      </c>
      <c r="AI27" s="43">
        <v>632301239.00999999</v>
      </c>
      <c r="AJ27" s="43">
        <v>142</v>
      </c>
      <c r="AK27" s="43">
        <v>23943976884.029999</v>
      </c>
      <c r="AL27" s="43">
        <v>9060521.2799999993</v>
      </c>
      <c r="AM27" s="43">
        <v>0</v>
      </c>
      <c r="AN27" s="43">
        <v>843095078.17999995</v>
      </c>
      <c r="AO27" s="43">
        <v>422294977.94</v>
      </c>
      <c r="AP27" s="43">
        <v>42005560.369999997</v>
      </c>
      <c r="AQ27" s="43">
        <v>0</v>
      </c>
      <c r="AR27" s="43">
        <v>0</v>
      </c>
      <c r="AS27" s="43">
        <v>758583121.25999999</v>
      </c>
      <c r="AT27" s="43">
        <v>-379788581.38999999</v>
      </c>
      <c r="AU27" s="43">
        <v>0</v>
      </c>
      <c r="AV27" s="43">
        <v>857496878.61000001</v>
      </c>
      <c r="AW27" s="43">
        <v>0</v>
      </c>
      <c r="AX27" s="43">
        <v>0</v>
      </c>
      <c r="AY27" s="43">
        <v>857496878.61000001</v>
      </c>
      <c r="AZ27" s="43">
        <v>461054594.58999997</v>
      </c>
      <c r="BA27" s="43">
        <v>461054594.58999997</v>
      </c>
      <c r="BB27" s="43">
        <v>0</v>
      </c>
      <c r="BC27" s="43">
        <v>0</v>
      </c>
      <c r="BD27" s="43">
        <v>58769879.350000001</v>
      </c>
      <c r="BE27" s="43">
        <v>0</v>
      </c>
      <c r="BF27" s="43">
        <v>0</v>
      </c>
      <c r="BG27" s="43">
        <v>58769879.350000001</v>
      </c>
      <c r="BH27" s="43">
        <v>796009613.60000002</v>
      </c>
      <c r="BI27" s="43">
        <v>305238506.32999998</v>
      </c>
      <c r="BJ27" s="43">
        <v>0</v>
      </c>
      <c r="BK27" s="43">
        <v>843750</v>
      </c>
      <c r="BL27" s="43">
        <v>304394756.32999998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423903114.78000003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423903114.78000003</v>
      </c>
      <c r="CQ27" s="43">
        <v>0</v>
      </c>
      <c r="CR27" s="43">
        <v>0</v>
      </c>
      <c r="CS27" s="43">
        <v>0</v>
      </c>
      <c r="CT27" s="43">
        <v>0</v>
      </c>
      <c r="CU27" s="43">
        <v>66867992.490000002</v>
      </c>
      <c r="CV27" s="43">
        <v>66867992.490000002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11248144591.530001</v>
      </c>
      <c r="DF27" s="43">
        <v>3150000000</v>
      </c>
      <c r="DG27" s="43">
        <v>3150000000</v>
      </c>
      <c r="DH27" s="43">
        <v>0</v>
      </c>
      <c r="DI27" s="43">
        <v>0</v>
      </c>
      <c r="DJ27" s="43">
        <v>0</v>
      </c>
      <c r="DK27" s="43">
        <v>0</v>
      </c>
      <c r="DL27" s="43">
        <v>7400000</v>
      </c>
      <c r="DM27" s="43">
        <v>0</v>
      </c>
      <c r="DN27" s="43">
        <v>0</v>
      </c>
      <c r="DO27" s="43">
        <v>0</v>
      </c>
      <c r="DP27" s="43">
        <v>0</v>
      </c>
      <c r="DQ27" s="43">
        <v>7400000</v>
      </c>
      <c r="DR27" s="43">
        <v>4776401650.21</v>
      </c>
      <c r="DS27" s="43">
        <v>273094665.37</v>
      </c>
      <c r="DT27" s="43">
        <v>0</v>
      </c>
      <c r="DU27" s="43">
        <v>4366269275.9200001</v>
      </c>
      <c r="DV27" s="43">
        <v>5000000</v>
      </c>
      <c r="DW27" s="43">
        <v>132182225.51000001</v>
      </c>
      <c r="DX27" s="43">
        <v>-144516.59</v>
      </c>
      <c r="DY27" s="43">
        <v>804306886.24000001</v>
      </c>
      <c r="DZ27" s="43">
        <v>804306886.24000001</v>
      </c>
      <c r="EA27" s="43">
        <v>0</v>
      </c>
      <c r="EB27" s="43">
        <v>0</v>
      </c>
      <c r="EC27" s="43">
        <v>2510036055.0799999</v>
      </c>
      <c r="ED27" s="43">
        <v>2510036055.0799999</v>
      </c>
      <c r="EE27" s="43">
        <v>0</v>
      </c>
      <c r="EF27" s="43">
        <v>0</v>
      </c>
      <c r="EG27" s="51"/>
      <c r="EH27" s="51"/>
      <c r="EI27" s="51"/>
    </row>
    <row r="28" spans="1:139" ht="12.75" customHeight="1">
      <c r="A28" s="40" t="s">
        <v>78</v>
      </c>
      <c r="B28" s="41">
        <v>1031</v>
      </c>
      <c r="C28" s="42" t="s">
        <v>415</v>
      </c>
      <c r="D28" s="43">
        <v>1242248288.8200002</v>
      </c>
      <c r="E28" s="43">
        <v>11787490.42</v>
      </c>
      <c r="F28" s="43">
        <v>0</v>
      </c>
      <c r="G28" s="43">
        <v>11787490.42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226990785.77000001</v>
      </c>
      <c r="O28" s="43">
        <v>215505401.81</v>
      </c>
      <c r="P28" s="43">
        <v>0</v>
      </c>
      <c r="Q28" s="43">
        <v>0</v>
      </c>
      <c r="R28" s="43">
        <v>0</v>
      </c>
      <c r="S28" s="43">
        <v>11485383.960000001</v>
      </c>
      <c r="T28" s="43">
        <v>0</v>
      </c>
      <c r="U28" s="43">
        <v>9173790.4000000004</v>
      </c>
      <c r="V28" s="43">
        <v>4650389.66</v>
      </c>
      <c r="W28" s="43">
        <v>0</v>
      </c>
      <c r="X28" s="43">
        <v>0</v>
      </c>
      <c r="Y28" s="43">
        <v>0</v>
      </c>
      <c r="Z28" s="43">
        <v>0</v>
      </c>
      <c r="AA28" s="43">
        <v>4523400.74</v>
      </c>
      <c r="AB28" s="43">
        <v>29507899.189999998</v>
      </c>
      <c r="AC28" s="43">
        <v>15190362.449999999</v>
      </c>
      <c r="AD28" s="43">
        <v>0</v>
      </c>
      <c r="AE28" s="43">
        <v>14317536.74</v>
      </c>
      <c r="AF28" s="43">
        <v>0</v>
      </c>
      <c r="AG28" s="43">
        <v>902293476.79999995</v>
      </c>
      <c r="AH28" s="43">
        <v>543934696.62</v>
      </c>
      <c r="AI28" s="43">
        <v>1603935.0300000012</v>
      </c>
      <c r="AJ28" s="43">
        <v>0</v>
      </c>
      <c r="AK28" s="43">
        <v>356754845.14999998</v>
      </c>
      <c r="AL28" s="43">
        <v>0</v>
      </c>
      <c r="AM28" s="43">
        <v>0</v>
      </c>
      <c r="AN28" s="43">
        <v>12825061.68</v>
      </c>
      <c r="AO28" s="43">
        <v>10130782.449999999</v>
      </c>
      <c r="AP28" s="43">
        <v>2694279.23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6525699.4000000004</v>
      </c>
      <c r="AW28" s="43">
        <v>0</v>
      </c>
      <c r="AX28" s="43">
        <v>0</v>
      </c>
      <c r="AY28" s="43">
        <v>6525699.4000000004</v>
      </c>
      <c r="AZ28" s="43">
        <v>43144085.159999996</v>
      </c>
      <c r="BA28" s="43">
        <v>43144085.159999996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36815231.869999997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29401537.719999999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29401537.719999999</v>
      </c>
      <c r="CQ28" s="43">
        <v>0</v>
      </c>
      <c r="CR28" s="43">
        <v>0</v>
      </c>
      <c r="CS28" s="43">
        <v>0</v>
      </c>
      <c r="CT28" s="43">
        <v>0</v>
      </c>
      <c r="CU28" s="43">
        <v>7413694.1500000004</v>
      </c>
      <c r="CV28" s="43">
        <v>7413694.1500000004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1421887642.3699999</v>
      </c>
      <c r="DF28" s="43">
        <v>1300000000</v>
      </c>
      <c r="DG28" s="43">
        <v>1300000000</v>
      </c>
      <c r="DH28" s="43">
        <v>0</v>
      </c>
      <c r="DI28" s="43">
        <v>0</v>
      </c>
      <c r="DJ28" s="43">
        <v>0</v>
      </c>
      <c r="DK28" s="43">
        <v>0</v>
      </c>
      <c r="DL28" s="43">
        <v>0</v>
      </c>
      <c r="DM28" s="43">
        <v>0</v>
      </c>
      <c r="DN28" s="43">
        <v>0</v>
      </c>
      <c r="DO28" s="43">
        <v>0</v>
      </c>
      <c r="DP28" s="43">
        <v>0</v>
      </c>
      <c r="DQ28" s="43">
        <v>0</v>
      </c>
      <c r="DR28" s="43">
        <v>-2500810.75</v>
      </c>
      <c r="DS28" s="43">
        <v>0</v>
      </c>
      <c r="DT28" s="43">
        <v>0</v>
      </c>
      <c r="DU28" s="43">
        <v>0</v>
      </c>
      <c r="DV28" s="43">
        <v>0</v>
      </c>
      <c r="DW28" s="43">
        <v>0</v>
      </c>
      <c r="DX28" s="43">
        <v>-2500810.75</v>
      </c>
      <c r="DY28" s="43">
        <v>174081806.13999999</v>
      </c>
      <c r="DZ28" s="43">
        <v>174081806.13999999</v>
      </c>
      <c r="EA28" s="43">
        <v>-52394437.539999999</v>
      </c>
      <c r="EB28" s="43">
        <v>-52394437.539999999</v>
      </c>
      <c r="EC28" s="43">
        <v>2701084.5200000014</v>
      </c>
      <c r="ED28" s="43">
        <v>0</v>
      </c>
      <c r="EE28" s="43">
        <v>2701084.5200000014</v>
      </c>
      <c r="EF28" s="43">
        <v>0</v>
      </c>
      <c r="EG28" s="51"/>
      <c r="EH28" s="51"/>
      <c r="EI28" s="51"/>
    </row>
    <row r="29" spans="1:139" ht="12.75" customHeight="1">
      <c r="A29" s="40" t="s">
        <v>81</v>
      </c>
      <c r="B29" s="41">
        <v>1032</v>
      </c>
      <c r="C29" s="42" t="s">
        <v>415</v>
      </c>
      <c r="D29" s="43">
        <v>31979197497.619999</v>
      </c>
      <c r="E29" s="43">
        <v>9621797.9699999951</v>
      </c>
      <c r="F29" s="43">
        <v>0</v>
      </c>
      <c r="G29" s="43">
        <v>9621797.9899999984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-2.0000003278255463E-2</v>
      </c>
      <c r="N29" s="43">
        <v>5620763851.3199997</v>
      </c>
      <c r="O29" s="43">
        <v>5620763851.3199997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0.26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0.26</v>
      </c>
      <c r="AB29" s="43">
        <v>709788765.55000007</v>
      </c>
      <c r="AC29" s="43">
        <v>79205571.030000001</v>
      </c>
      <c r="AD29" s="43">
        <v>267771726.30000001</v>
      </c>
      <c r="AE29" s="43">
        <v>362811468.22000003</v>
      </c>
      <c r="AF29" s="43">
        <v>0</v>
      </c>
      <c r="AG29" s="43">
        <v>23793992653.620003</v>
      </c>
      <c r="AH29" s="43">
        <v>12135183072.5</v>
      </c>
      <c r="AI29" s="43">
        <v>-0.42</v>
      </c>
      <c r="AJ29" s="43">
        <v>0</v>
      </c>
      <c r="AK29" s="43">
        <v>11658809581.540001</v>
      </c>
      <c r="AL29" s="43">
        <v>0</v>
      </c>
      <c r="AM29" s="43">
        <v>0</v>
      </c>
      <c r="AN29" s="43">
        <v>655974706.35000038</v>
      </c>
      <c r="AO29" s="43">
        <v>607115881</v>
      </c>
      <c r="AP29" s="43">
        <v>48858826.340000004</v>
      </c>
      <c r="AQ29" s="43">
        <v>0</v>
      </c>
      <c r="AR29" s="43">
        <v>0</v>
      </c>
      <c r="AS29" s="43">
        <v>2340215920.5500002</v>
      </c>
      <c r="AT29" s="43">
        <v>-2340215921.54</v>
      </c>
      <c r="AU29" s="43">
        <v>0</v>
      </c>
      <c r="AV29" s="43">
        <v>220708847</v>
      </c>
      <c r="AW29" s="43">
        <v>0</v>
      </c>
      <c r="AX29" s="43">
        <v>0</v>
      </c>
      <c r="AY29" s="43">
        <v>220708847</v>
      </c>
      <c r="AZ29" s="43">
        <v>968346875.54999995</v>
      </c>
      <c r="BA29" s="43">
        <v>968346875.54999995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1882552443.7800002</v>
      </c>
      <c r="BI29" s="43">
        <v>12312410.940000005</v>
      </c>
      <c r="BJ29" s="43">
        <v>0</v>
      </c>
      <c r="BK29" s="43">
        <v>12312410.940000005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1811070630.46</v>
      </c>
      <c r="CK29" s="43">
        <v>865470163.07000017</v>
      </c>
      <c r="CL29" s="43">
        <v>0</v>
      </c>
      <c r="CM29" s="43">
        <v>0</v>
      </c>
      <c r="CN29" s="43">
        <v>0</v>
      </c>
      <c r="CO29" s="43">
        <v>0</v>
      </c>
      <c r="CP29" s="43">
        <v>945600467.38999999</v>
      </c>
      <c r="CQ29" s="43">
        <v>0</v>
      </c>
      <c r="CR29" s="43">
        <v>0</v>
      </c>
      <c r="CS29" s="43">
        <v>0</v>
      </c>
      <c r="CT29" s="43">
        <v>0</v>
      </c>
      <c r="CU29" s="43">
        <v>59169402.380000003</v>
      </c>
      <c r="CV29" s="43">
        <v>59169402.380000003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10353930412.350008</v>
      </c>
      <c r="DF29" s="43">
        <v>163069856</v>
      </c>
      <c r="DG29" s="43">
        <v>163069856</v>
      </c>
      <c r="DH29" s="43">
        <v>0</v>
      </c>
      <c r="DI29" s="43">
        <v>0</v>
      </c>
      <c r="DJ29" s="43">
        <v>0</v>
      </c>
      <c r="DK29" s="43">
        <v>0</v>
      </c>
      <c r="DL29" s="43">
        <v>2070152.2</v>
      </c>
      <c r="DM29" s="43">
        <v>2070152.2</v>
      </c>
      <c r="DN29" s="43">
        <v>0</v>
      </c>
      <c r="DO29" s="43">
        <v>0</v>
      </c>
      <c r="DP29" s="43">
        <v>0</v>
      </c>
      <c r="DQ29" s="43">
        <v>0</v>
      </c>
      <c r="DR29" s="43">
        <v>1437236062.99</v>
      </c>
      <c r="DS29" s="43">
        <v>360501967.18000001</v>
      </c>
      <c r="DT29" s="43">
        <v>0</v>
      </c>
      <c r="DU29" s="43">
        <v>0</v>
      </c>
      <c r="DV29" s="43">
        <v>0</v>
      </c>
      <c r="DW29" s="43">
        <v>0</v>
      </c>
      <c r="DX29" s="43">
        <v>1076734095.8099999</v>
      </c>
      <c r="DY29" s="43">
        <v>6854867165.8199997</v>
      </c>
      <c r="DZ29" s="43">
        <v>6854867165.8199997</v>
      </c>
      <c r="EA29" s="43">
        <v>0</v>
      </c>
      <c r="EB29" s="43">
        <v>0</v>
      </c>
      <c r="EC29" s="43">
        <v>1896687175.3400078</v>
      </c>
      <c r="ED29" s="43">
        <v>1896687175.3400078</v>
      </c>
      <c r="EE29" s="43">
        <v>0</v>
      </c>
      <c r="EF29" s="43">
        <v>0</v>
      </c>
      <c r="EG29" s="51"/>
      <c r="EH29" s="51"/>
      <c r="EI29" s="51"/>
    </row>
    <row r="30" spans="1:139" ht="12.75" customHeight="1">
      <c r="A30" s="40" t="s">
        <v>13</v>
      </c>
      <c r="B30" s="41">
        <v>1034</v>
      </c>
      <c r="C30" s="42" t="s">
        <v>415</v>
      </c>
      <c r="D30" s="43">
        <v>6232108874.7599993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221393205.92000002</v>
      </c>
      <c r="O30" s="43">
        <v>219267662.66000003</v>
      </c>
      <c r="P30" s="43">
        <v>0</v>
      </c>
      <c r="Q30" s="43">
        <v>0</v>
      </c>
      <c r="R30" s="43">
        <v>0</v>
      </c>
      <c r="S30" s="43">
        <v>2125543.2599999998</v>
      </c>
      <c r="T30" s="43">
        <v>0</v>
      </c>
      <c r="U30" s="43">
        <v>1144007.03</v>
      </c>
      <c r="V30" s="43">
        <v>0</v>
      </c>
      <c r="W30" s="43">
        <v>0</v>
      </c>
      <c r="X30" s="43">
        <v>0</v>
      </c>
      <c r="Y30" s="43">
        <v>0</v>
      </c>
      <c r="Z30" s="43">
        <v>1144007.03</v>
      </c>
      <c r="AA30" s="43">
        <v>0</v>
      </c>
      <c r="AB30" s="43">
        <v>187784958.47999999</v>
      </c>
      <c r="AC30" s="43">
        <v>33548311.899999999</v>
      </c>
      <c r="AD30" s="43">
        <v>73965832.299999997</v>
      </c>
      <c r="AE30" s="43">
        <v>80270814.280000001</v>
      </c>
      <c r="AF30" s="43">
        <v>0</v>
      </c>
      <c r="AG30" s="43">
        <v>5228348847.4099989</v>
      </c>
      <c r="AH30" s="43">
        <v>1907235224.6399987</v>
      </c>
      <c r="AI30" s="43">
        <v>0</v>
      </c>
      <c r="AJ30" s="43">
        <v>0</v>
      </c>
      <c r="AK30" s="43">
        <v>3321113622.7700005</v>
      </c>
      <c r="AL30" s="43">
        <v>0</v>
      </c>
      <c r="AM30" s="43">
        <v>0</v>
      </c>
      <c r="AN30" s="43">
        <v>129766133.13000001</v>
      </c>
      <c r="AO30" s="43">
        <v>74323952.040000007</v>
      </c>
      <c r="AP30" s="43">
        <v>4460585.7300000004</v>
      </c>
      <c r="AQ30" s="43">
        <v>0</v>
      </c>
      <c r="AR30" s="43">
        <v>0</v>
      </c>
      <c r="AS30" s="43">
        <v>99133106.75</v>
      </c>
      <c r="AT30" s="43">
        <v>-48151511.390000001</v>
      </c>
      <c r="AU30" s="43">
        <v>0</v>
      </c>
      <c r="AV30" s="43">
        <v>21694996.329999998</v>
      </c>
      <c r="AW30" s="43">
        <v>0</v>
      </c>
      <c r="AX30" s="43">
        <v>0</v>
      </c>
      <c r="AY30" s="43">
        <v>21694996.329999998</v>
      </c>
      <c r="AZ30" s="43">
        <v>56409475.630000003</v>
      </c>
      <c r="BA30" s="43">
        <v>56409475.630000003</v>
      </c>
      <c r="BB30" s="43">
        <v>0</v>
      </c>
      <c r="BC30" s="43">
        <v>0</v>
      </c>
      <c r="BD30" s="43">
        <v>385567250.82999998</v>
      </c>
      <c r="BE30" s="43">
        <v>385567250.82999998</v>
      </c>
      <c r="BF30" s="43">
        <v>0</v>
      </c>
      <c r="BG30" s="43">
        <v>0</v>
      </c>
      <c r="BH30" s="43">
        <v>57824450.299999997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43834454.299999997</v>
      </c>
      <c r="CK30" s="43">
        <v>0</v>
      </c>
      <c r="CL30" s="43">
        <v>0</v>
      </c>
      <c r="CM30" s="43">
        <v>21472706.07</v>
      </c>
      <c r="CN30" s="43">
        <v>0</v>
      </c>
      <c r="CO30" s="43">
        <v>0</v>
      </c>
      <c r="CP30" s="43">
        <v>22361748.23</v>
      </c>
      <c r="CQ30" s="43">
        <v>0</v>
      </c>
      <c r="CR30" s="43">
        <v>0</v>
      </c>
      <c r="CS30" s="43">
        <v>0</v>
      </c>
      <c r="CT30" s="43">
        <v>0</v>
      </c>
      <c r="CU30" s="43">
        <v>13989996</v>
      </c>
      <c r="CV30" s="43">
        <v>13989996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0</v>
      </c>
      <c r="DC30" s="43">
        <v>0</v>
      </c>
      <c r="DD30" s="43">
        <v>0</v>
      </c>
      <c r="DE30" s="43">
        <v>1976721975.8600001</v>
      </c>
      <c r="DF30" s="43">
        <v>200000000</v>
      </c>
      <c r="DG30" s="43">
        <v>200000000</v>
      </c>
      <c r="DH30" s="43">
        <v>0</v>
      </c>
      <c r="DI30" s="43">
        <v>0</v>
      </c>
      <c r="DJ30" s="43">
        <v>0</v>
      </c>
      <c r="DK30" s="43">
        <v>0</v>
      </c>
      <c r="DL30" s="43">
        <v>0</v>
      </c>
      <c r="DM30" s="43">
        <v>0</v>
      </c>
      <c r="DN30" s="43">
        <v>0</v>
      </c>
      <c r="DO30" s="43">
        <v>0</v>
      </c>
      <c r="DP30" s="43">
        <v>0</v>
      </c>
      <c r="DQ30" s="43">
        <v>0</v>
      </c>
      <c r="DR30" s="43">
        <v>1147264275.0999999</v>
      </c>
      <c r="DS30" s="43">
        <v>20529288.800000001</v>
      </c>
      <c r="DT30" s="43">
        <v>0</v>
      </c>
      <c r="DU30" s="43">
        <v>37507.69</v>
      </c>
      <c r="DV30" s="43">
        <v>0</v>
      </c>
      <c r="DW30" s="43">
        <v>1124758895.1099999</v>
      </c>
      <c r="DX30" s="43">
        <v>1938583.5</v>
      </c>
      <c r="DY30" s="43">
        <v>398282897.36000001</v>
      </c>
      <c r="DZ30" s="43">
        <v>398282897.36000001</v>
      </c>
      <c r="EA30" s="43">
        <v>0</v>
      </c>
      <c r="EB30" s="43">
        <v>0</v>
      </c>
      <c r="EC30" s="43">
        <v>231174803.39999998</v>
      </c>
      <c r="ED30" s="43">
        <v>231174803.39999998</v>
      </c>
      <c r="EE30" s="43">
        <v>0</v>
      </c>
      <c r="EF30" s="43">
        <v>0</v>
      </c>
      <c r="EG30" s="51"/>
      <c r="EH30" s="51"/>
      <c r="EI30" s="51"/>
    </row>
    <row r="31" spans="1:139" ht="12.75" customHeight="1">
      <c r="A31" s="40" t="s">
        <v>6</v>
      </c>
      <c r="B31" s="41">
        <v>1035</v>
      </c>
      <c r="C31" s="42" t="s">
        <v>415</v>
      </c>
      <c r="D31" s="43">
        <v>64897300763.5784</v>
      </c>
      <c r="E31" s="43">
        <v>65619977.030000001</v>
      </c>
      <c r="F31" s="43">
        <v>0</v>
      </c>
      <c r="G31" s="43">
        <v>106030170</v>
      </c>
      <c r="H31" s="43">
        <v>-40410192.969999999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4185113006.77</v>
      </c>
      <c r="O31" s="43">
        <v>3512770150.6799998</v>
      </c>
      <c r="P31" s="43">
        <v>0</v>
      </c>
      <c r="Q31" s="43">
        <v>0</v>
      </c>
      <c r="R31" s="43">
        <v>0</v>
      </c>
      <c r="S31" s="43">
        <v>672342856.09000003</v>
      </c>
      <c r="T31" s="43">
        <v>0</v>
      </c>
      <c r="U31" s="43">
        <v>1383480.86</v>
      </c>
      <c r="V31" s="43">
        <v>0</v>
      </c>
      <c r="W31" s="43">
        <v>0</v>
      </c>
      <c r="X31" s="43">
        <v>0</v>
      </c>
      <c r="Y31" s="43">
        <v>0</v>
      </c>
      <c r="Z31" s="43">
        <v>1383480.86</v>
      </c>
      <c r="AA31" s="43">
        <v>0</v>
      </c>
      <c r="AB31" s="43">
        <v>1078679960.6099999</v>
      </c>
      <c r="AC31" s="43">
        <v>203621871.63</v>
      </c>
      <c r="AD31" s="43">
        <v>629060967.69000006</v>
      </c>
      <c r="AE31" s="43">
        <v>274138953.67000002</v>
      </c>
      <c r="AF31" s="43">
        <v>-28141832.379999999</v>
      </c>
      <c r="AG31" s="43">
        <v>56698883805.559998</v>
      </c>
      <c r="AH31" s="43">
        <v>24812305601.950008</v>
      </c>
      <c r="AI31" s="43">
        <v>481742610.21000004</v>
      </c>
      <c r="AJ31" s="43">
        <v>0</v>
      </c>
      <c r="AK31" s="43">
        <v>31360079442.539989</v>
      </c>
      <c r="AL31" s="43">
        <v>44756150.859999999</v>
      </c>
      <c r="AM31" s="43">
        <v>0</v>
      </c>
      <c r="AN31" s="43">
        <v>1424798134.8000002</v>
      </c>
      <c r="AO31" s="43">
        <v>727986131.24000001</v>
      </c>
      <c r="AP31" s="43">
        <v>47062075.560000002</v>
      </c>
      <c r="AQ31" s="43">
        <v>0</v>
      </c>
      <c r="AR31" s="43">
        <v>0</v>
      </c>
      <c r="AS31" s="43">
        <v>1314794880.4300001</v>
      </c>
      <c r="AT31" s="43">
        <v>-665044952.42999995</v>
      </c>
      <c r="AU31" s="43">
        <v>0</v>
      </c>
      <c r="AV31" s="43">
        <v>371686598.55000001</v>
      </c>
      <c r="AW31" s="43">
        <v>0</v>
      </c>
      <c r="AX31" s="43">
        <v>0</v>
      </c>
      <c r="AY31" s="43">
        <v>371686598.55000001</v>
      </c>
      <c r="AZ31" s="43">
        <v>1071135809.11</v>
      </c>
      <c r="BA31" s="43">
        <v>853521532.47000003</v>
      </c>
      <c r="BB31" s="43">
        <v>0</v>
      </c>
      <c r="BC31" s="43">
        <v>217614276.63999999</v>
      </c>
      <c r="BD31" s="43">
        <v>-9.7116127014160103</v>
      </c>
      <c r="BE31" s="43">
        <v>0</v>
      </c>
      <c r="BF31" s="43">
        <v>0</v>
      </c>
      <c r="BG31" s="43">
        <v>-9.7116127014160103</v>
      </c>
      <c r="BH31" s="43">
        <v>670318248.0799998</v>
      </c>
      <c r="BI31" s="43">
        <v>114366420.14</v>
      </c>
      <c r="BJ31" s="43">
        <v>0</v>
      </c>
      <c r="BK31" s="43">
        <v>144206880</v>
      </c>
      <c r="BL31" s="43">
        <v>-29840459.859999999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492177891.93999982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492177891.93999982</v>
      </c>
      <c r="CQ31" s="43">
        <v>0</v>
      </c>
      <c r="CR31" s="43">
        <v>0</v>
      </c>
      <c r="CS31" s="43">
        <v>0</v>
      </c>
      <c r="CT31" s="43">
        <v>0</v>
      </c>
      <c r="CU31" s="43">
        <v>63773936</v>
      </c>
      <c r="CV31" s="43">
        <v>63773936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0</v>
      </c>
      <c r="DC31" s="43">
        <v>0</v>
      </c>
      <c r="DD31" s="43">
        <v>0</v>
      </c>
      <c r="DE31" s="43">
        <v>16261146718.818966</v>
      </c>
      <c r="DF31" s="43">
        <v>190000000</v>
      </c>
      <c r="DG31" s="43">
        <v>190000000</v>
      </c>
      <c r="DH31" s="43">
        <v>0</v>
      </c>
      <c r="DI31" s="43">
        <v>0</v>
      </c>
      <c r="DJ31" s="43">
        <v>0</v>
      </c>
      <c r="DK31" s="43">
        <v>0</v>
      </c>
      <c r="DL31" s="43">
        <v>2228323.79</v>
      </c>
      <c r="DM31" s="43">
        <v>0</v>
      </c>
      <c r="DN31" s="43">
        <v>0</v>
      </c>
      <c r="DO31" s="43">
        <v>0</v>
      </c>
      <c r="DP31" s="43">
        <v>0</v>
      </c>
      <c r="DQ31" s="43">
        <v>2228323.79</v>
      </c>
      <c r="DR31" s="43">
        <v>13080375640.08</v>
      </c>
      <c r="DS31" s="43">
        <v>77714458</v>
      </c>
      <c r="DT31" s="43">
        <v>0</v>
      </c>
      <c r="DU31" s="43">
        <v>12788257444.540001</v>
      </c>
      <c r="DV31" s="43">
        <v>11809518</v>
      </c>
      <c r="DW31" s="43">
        <v>193786162.38</v>
      </c>
      <c r="DX31" s="43">
        <v>8808057.1600000001</v>
      </c>
      <c r="DY31" s="43">
        <v>0</v>
      </c>
      <c r="DZ31" s="43">
        <v>0</v>
      </c>
      <c r="EA31" s="43">
        <v>0</v>
      </c>
      <c r="EB31" s="43">
        <v>0</v>
      </c>
      <c r="EC31" s="43">
        <v>2988542754.9489651</v>
      </c>
      <c r="ED31" s="43">
        <v>2988542754.9489651</v>
      </c>
      <c r="EE31" s="43">
        <v>0</v>
      </c>
      <c r="EF31" s="43">
        <v>0</v>
      </c>
      <c r="EG31" s="51"/>
      <c r="EH31" s="51"/>
      <c r="EI31" s="51"/>
    </row>
    <row r="32" spans="1:139" ht="12.75" customHeight="1">
      <c r="A32" s="40" t="s">
        <v>18</v>
      </c>
      <c r="B32" s="41">
        <v>1036</v>
      </c>
      <c r="C32" s="42" t="s">
        <v>415</v>
      </c>
      <c r="D32" s="43">
        <v>24525404384.610001</v>
      </c>
      <c r="E32" s="43">
        <v>8628663.1000000015</v>
      </c>
      <c r="F32" s="43">
        <v>0</v>
      </c>
      <c r="G32" s="43">
        <v>14623571.130000001</v>
      </c>
      <c r="H32" s="43">
        <v>-5994908.0300000003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1567212927.2199998</v>
      </c>
      <c r="O32" s="43">
        <v>1567212927.2199998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935548463.14999998</v>
      </c>
      <c r="AC32" s="43">
        <v>103572810.66</v>
      </c>
      <c r="AD32" s="43">
        <v>413531205.19</v>
      </c>
      <c r="AE32" s="43">
        <v>462284691.70999998</v>
      </c>
      <c r="AF32" s="43">
        <v>-43840244.409999996</v>
      </c>
      <c r="AG32" s="43">
        <v>20664317384.43</v>
      </c>
      <c r="AH32" s="43">
        <v>11203314289.560001</v>
      </c>
      <c r="AI32" s="43">
        <v>636501428.1500001</v>
      </c>
      <c r="AJ32" s="43">
        <v>0</v>
      </c>
      <c r="AK32" s="43">
        <v>8824501666.7200012</v>
      </c>
      <c r="AL32" s="43">
        <v>0</v>
      </c>
      <c r="AM32" s="43">
        <v>0</v>
      </c>
      <c r="AN32" s="43">
        <v>410211314.31</v>
      </c>
      <c r="AO32" s="43">
        <v>388831128.38</v>
      </c>
      <c r="AP32" s="43">
        <v>21380185.93</v>
      </c>
      <c r="AQ32" s="43">
        <v>0</v>
      </c>
      <c r="AR32" s="43">
        <v>0</v>
      </c>
      <c r="AS32" s="43">
        <v>125053566.48</v>
      </c>
      <c r="AT32" s="43">
        <v>-125053566.48</v>
      </c>
      <c r="AU32" s="43">
        <v>0</v>
      </c>
      <c r="AV32" s="43">
        <v>62646696.640000001</v>
      </c>
      <c r="AW32" s="43">
        <v>29541988.469999999</v>
      </c>
      <c r="AX32" s="43">
        <v>0</v>
      </c>
      <c r="AY32" s="43">
        <v>33104708.170000002</v>
      </c>
      <c r="AZ32" s="43">
        <v>840034057.62</v>
      </c>
      <c r="BA32" s="43">
        <v>840034057.62</v>
      </c>
      <c r="BB32" s="43">
        <v>0</v>
      </c>
      <c r="BC32" s="43">
        <v>0</v>
      </c>
      <c r="BD32" s="43">
        <v>36804878.140000001</v>
      </c>
      <c r="BE32" s="43">
        <v>36804878.140000001</v>
      </c>
      <c r="BF32" s="43">
        <v>0</v>
      </c>
      <c r="BG32" s="43">
        <v>0</v>
      </c>
      <c r="BH32" s="43">
        <v>392722129.06999993</v>
      </c>
      <c r="BI32" s="43">
        <v>21522236.960000001</v>
      </c>
      <c r="BJ32" s="43">
        <v>0</v>
      </c>
      <c r="BK32" s="43">
        <v>36801002.700000003</v>
      </c>
      <c r="BL32" s="43">
        <v>-15278765.74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0</v>
      </c>
      <c r="CA32" s="43">
        <v>0</v>
      </c>
      <c r="CB32" s="43">
        <v>0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319571507.86999995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319571507.86999995</v>
      </c>
      <c r="CQ32" s="43">
        <v>0</v>
      </c>
      <c r="CR32" s="43">
        <v>0</v>
      </c>
      <c r="CS32" s="43">
        <v>0</v>
      </c>
      <c r="CT32" s="43">
        <v>0</v>
      </c>
      <c r="CU32" s="43">
        <v>51407166.240000002</v>
      </c>
      <c r="CV32" s="43">
        <v>51407166.240000002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221218</v>
      </c>
      <c r="DC32" s="43">
        <v>0</v>
      </c>
      <c r="DD32" s="43">
        <v>221218</v>
      </c>
      <c r="DE32" s="43">
        <v>4515015038.8099995</v>
      </c>
      <c r="DF32" s="43">
        <v>750000000</v>
      </c>
      <c r="DG32" s="43">
        <v>750000000</v>
      </c>
      <c r="DH32" s="43">
        <v>0</v>
      </c>
      <c r="DI32" s="43">
        <v>0</v>
      </c>
      <c r="DJ32" s="43">
        <v>0</v>
      </c>
      <c r="DK32" s="43">
        <v>0</v>
      </c>
      <c r="DL32" s="43">
        <v>0</v>
      </c>
      <c r="DM32" s="43">
        <v>0</v>
      </c>
      <c r="DN32" s="43">
        <v>0</v>
      </c>
      <c r="DO32" s="43">
        <v>0</v>
      </c>
      <c r="DP32" s="43">
        <v>0</v>
      </c>
      <c r="DQ32" s="43">
        <v>0</v>
      </c>
      <c r="DR32" s="43">
        <v>254191178.54000002</v>
      </c>
      <c r="DS32" s="43">
        <v>46335798.829999998</v>
      </c>
      <c r="DT32" s="43">
        <v>0</v>
      </c>
      <c r="DU32" s="43">
        <v>6780497.75</v>
      </c>
      <c r="DV32" s="43">
        <v>217437246.34</v>
      </c>
      <c r="DW32" s="43">
        <v>0</v>
      </c>
      <c r="DX32" s="43">
        <v>-16362364.380000001</v>
      </c>
      <c r="DY32" s="43">
        <v>3076938342.1799998</v>
      </c>
      <c r="DZ32" s="43">
        <v>3076938342.1799998</v>
      </c>
      <c r="EA32" s="43">
        <v>-7630483.9500000002</v>
      </c>
      <c r="EB32" s="43">
        <v>-7630483.9500000002</v>
      </c>
      <c r="EC32" s="43">
        <v>441516002.03999996</v>
      </c>
      <c r="ED32" s="43">
        <v>441516002.03999996</v>
      </c>
      <c r="EE32" s="43">
        <v>0</v>
      </c>
      <c r="EF32" s="43">
        <v>0</v>
      </c>
      <c r="EG32" s="51"/>
      <c r="EH32" s="51"/>
      <c r="EI32" s="51"/>
    </row>
    <row r="33" spans="1:139" ht="12.75" customHeight="1">
      <c r="A33" s="40" t="s">
        <v>15</v>
      </c>
      <c r="B33" s="41">
        <v>1037</v>
      </c>
      <c r="C33" s="42" t="s">
        <v>415</v>
      </c>
      <c r="D33" s="43">
        <v>6215569712.8500004</v>
      </c>
      <c r="E33" s="43">
        <v>7349790.7600000007</v>
      </c>
      <c r="F33" s="43">
        <v>0</v>
      </c>
      <c r="G33" s="43">
        <v>6838906.3200000003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510884.44</v>
      </c>
      <c r="N33" s="43">
        <v>341969898.68000001</v>
      </c>
      <c r="O33" s="43">
        <v>341905715.58000004</v>
      </c>
      <c r="P33" s="43">
        <v>0</v>
      </c>
      <c r="Q33" s="43">
        <v>0</v>
      </c>
      <c r="R33" s="43">
        <v>0</v>
      </c>
      <c r="S33" s="43">
        <v>64121.07</v>
      </c>
      <c r="T33" s="43">
        <v>62.03</v>
      </c>
      <c r="U33" s="43">
        <v>-841232.97</v>
      </c>
      <c r="V33" s="43">
        <v>33332.61</v>
      </c>
      <c r="W33" s="43">
        <v>0</v>
      </c>
      <c r="X33" s="43">
        <v>0</v>
      </c>
      <c r="Y33" s="43">
        <v>0</v>
      </c>
      <c r="Z33" s="43">
        <v>-874565.58</v>
      </c>
      <c r="AA33" s="43">
        <v>0</v>
      </c>
      <c r="AB33" s="43">
        <v>366151744.57999998</v>
      </c>
      <c r="AC33" s="43">
        <v>40462650.049999997</v>
      </c>
      <c r="AD33" s="43">
        <v>131726496.27</v>
      </c>
      <c r="AE33" s="43">
        <v>198490270</v>
      </c>
      <c r="AF33" s="43">
        <v>-4527671.74</v>
      </c>
      <c r="AG33" s="43">
        <v>5122662761.0200005</v>
      </c>
      <c r="AH33" s="43">
        <v>2479753361.8000002</v>
      </c>
      <c r="AI33" s="43">
        <v>35971781.280000001</v>
      </c>
      <c r="AJ33" s="43">
        <v>0</v>
      </c>
      <c r="AK33" s="43">
        <v>2606937617.9399996</v>
      </c>
      <c r="AL33" s="43">
        <v>0</v>
      </c>
      <c r="AM33" s="43">
        <v>0</v>
      </c>
      <c r="AN33" s="43">
        <v>208746856.91</v>
      </c>
      <c r="AO33" s="43">
        <v>109768439.83</v>
      </c>
      <c r="AP33" s="43">
        <v>9823604.4399999995</v>
      </c>
      <c r="AQ33" s="43">
        <v>0</v>
      </c>
      <c r="AR33" s="43">
        <v>0</v>
      </c>
      <c r="AS33" s="43">
        <v>89154812.640000001</v>
      </c>
      <c r="AT33" s="43">
        <v>0</v>
      </c>
      <c r="AU33" s="43">
        <v>0</v>
      </c>
      <c r="AV33" s="43">
        <v>36292596.280000001</v>
      </c>
      <c r="AW33" s="43">
        <v>0</v>
      </c>
      <c r="AX33" s="43">
        <v>0</v>
      </c>
      <c r="AY33" s="43">
        <v>36292596.280000001</v>
      </c>
      <c r="AZ33" s="43">
        <v>133237297.59</v>
      </c>
      <c r="BA33" s="43">
        <v>133237297.59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23153302.580000002</v>
      </c>
      <c r="BI33" s="43">
        <v>687888.27</v>
      </c>
      <c r="BJ33" s="43">
        <v>0</v>
      </c>
      <c r="BK33" s="43">
        <v>687888.27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6902068.7400000021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6902068.7400000021</v>
      </c>
      <c r="CQ33" s="43">
        <v>0</v>
      </c>
      <c r="CR33" s="43">
        <v>0</v>
      </c>
      <c r="CS33" s="43">
        <v>0</v>
      </c>
      <c r="CT33" s="43">
        <v>0</v>
      </c>
      <c r="CU33" s="43">
        <v>15563346</v>
      </c>
      <c r="CV33" s="43">
        <v>15563346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-0.43</v>
      </c>
      <c r="DC33" s="43">
        <v>-0.43</v>
      </c>
      <c r="DD33" s="43">
        <v>0</v>
      </c>
      <c r="DE33" s="43">
        <v>1500463243.3400002</v>
      </c>
      <c r="DF33" s="43">
        <v>692098807.90999997</v>
      </c>
      <c r="DG33" s="43">
        <v>542000000</v>
      </c>
      <c r="DH33" s="43">
        <v>0</v>
      </c>
      <c r="DI33" s="43">
        <v>0</v>
      </c>
      <c r="DJ33" s="43">
        <v>0</v>
      </c>
      <c r="DK33" s="43">
        <v>150098807.91</v>
      </c>
      <c r="DL33" s="43">
        <v>256469121.62</v>
      </c>
      <c r="DM33" s="43">
        <v>0</v>
      </c>
      <c r="DN33" s="43">
        <v>0</v>
      </c>
      <c r="DO33" s="43">
        <v>0</v>
      </c>
      <c r="DP33" s="43">
        <v>0</v>
      </c>
      <c r="DQ33" s="43">
        <v>256469121.62</v>
      </c>
      <c r="DR33" s="43">
        <v>17129703.530000001</v>
      </c>
      <c r="DS33" s="43">
        <v>30182515.030000001</v>
      </c>
      <c r="DT33" s="43">
        <v>0</v>
      </c>
      <c r="DU33" s="43">
        <v>0</v>
      </c>
      <c r="DV33" s="43">
        <v>0</v>
      </c>
      <c r="DW33" s="43">
        <v>0</v>
      </c>
      <c r="DX33" s="43">
        <v>-13052811.5</v>
      </c>
      <c r="DY33" s="43">
        <v>351250816.93000001</v>
      </c>
      <c r="DZ33" s="43">
        <v>351250816.93000001</v>
      </c>
      <c r="EA33" s="43">
        <v>-12295293.75</v>
      </c>
      <c r="EB33" s="43">
        <v>-12295293.75</v>
      </c>
      <c r="EC33" s="43">
        <v>195810087.10000002</v>
      </c>
      <c r="ED33" s="43">
        <v>195810087.10000002</v>
      </c>
      <c r="EE33" s="43">
        <v>0</v>
      </c>
      <c r="EF33" s="43">
        <v>0</v>
      </c>
      <c r="EG33" s="51"/>
      <c r="EH33" s="51"/>
      <c r="EI33" s="51"/>
    </row>
    <row r="34" spans="1:139" ht="12.75" customHeight="1">
      <c r="A34" s="40" t="s">
        <v>17</v>
      </c>
      <c r="B34" s="41">
        <v>1038</v>
      </c>
      <c r="C34" s="42" t="s">
        <v>415</v>
      </c>
      <c r="D34" s="43">
        <v>6728458998.300024</v>
      </c>
      <c r="E34" s="43">
        <v>17380316.819999989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17380316.819999989</v>
      </c>
      <c r="N34" s="43">
        <v>825157852.70000005</v>
      </c>
      <c r="O34" s="43">
        <v>825157852.70000005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437143.44000000134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437143.44000000134</v>
      </c>
      <c r="AB34" s="43">
        <v>295490078.5800001</v>
      </c>
      <c r="AC34" s="43">
        <v>0</v>
      </c>
      <c r="AD34" s="43">
        <v>0</v>
      </c>
      <c r="AE34" s="43">
        <v>295490078.5800001</v>
      </c>
      <c r="AF34" s="43">
        <v>0</v>
      </c>
      <c r="AG34" s="43">
        <v>5140770185.7700233</v>
      </c>
      <c r="AH34" s="43">
        <v>4202382572.1800141</v>
      </c>
      <c r="AI34" s="43">
        <v>0</v>
      </c>
      <c r="AJ34" s="43">
        <v>0</v>
      </c>
      <c r="AK34" s="43">
        <v>938387613.59000921</v>
      </c>
      <c r="AL34" s="43">
        <v>0</v>
      </c>
      <c r="AM34" s="43">
        <v>0</v>
      </c>
      <c r="AN34" s="43">
        <v>182834695.06000018</v>
      </c>
      <c r="AO34" s="43">
        <v>75167100.630000114</v>
      </c>
      <c r="AP34" s="43">
        <v>18752733.169999957</v>
      </c>
      <c r="AQ34" s="43">
        <v>0</v>
      </c>
      <c r="AR34" s="43">
        <v>0</v>
      </c>
      <c r="AS34" s="43">
        <v>139180197.19</v>
      </c>
      <c r="AT34" s="43">
        <v>-50265335.929999903</v>
      </c>
      <c r="AU34" s="43">
        <v>0</v>
      </c>
      <c r="AV34" s="43">
        <v>193528185.32000005</v>
      </c>
      <c r="AW34" s="43">
        <v>0</v>
      </c>
      <c r="AX34" s="43">
        <v>0</v>
      </c>
      <c r="AY34" s="43">
        <v>193528185.32000005</v>
      </c>
      <c r="AZ34" s="43">
        <v>72860540.600000024</v>
      </c>
      <c r="BA34" s="43">
        <v>70382130.870000035</v>
      </c>
      <c r="BB34" s="43">
        <v>0</v>
      </c>
      <c r="BC34" s="43">
        <v>2478409.7299999893</v>
      </c>
      <c r="BD34" s="43">
        <v>1.0000228998251259E-2</v>
      </c>
      <c r="BE34" s="43">
        <v>0</v>
      </c>
      <c r="BF34" s="43">
        <v>0</v>
      </c>
      <c r="BG34" s="43">
        <v>1.0000228998251259E-2</v>
      </c>
      <c r="BH34" s="43">
        <v>2617062583.600008</v>
      </c>
      <c r="BI34" s="43">
        <v>-4.0000000037252903E-2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-4.0000000037252903E-2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2542471092.7900081</v>
      </c>
      <c r="CK34" s="43">
        <v>2312424150.140008</v>
      </c>
      <c r="CL34" s="43">
        <v>0</v>
      </c>
      <c r="CM34" s="43">
        <v>0</v>
      </c>
      <c r="CN34" s="43">
        <v>0</v>
      </c>
      <c r="CO34" s="43">
        <v>0</v>
      </c>
      <c r="CP34" s="43">
        <v>230046942.65000004</v>
      </c>
      <c r="CQ34" s="43">
        <v>0</v>
      </c>
      <c r="CR34" s="43">
        <v>0</v>
      </c>
      <c r="CS34" s="43">
        <v>0</v>
      </c>
      <c r="CT34" s="43">
        <v>0</v>
      </c>
      <c r="CU34" s="43">
        <v>55461703.999999993</v>
      </c>
      <c r="CV34" s="43">
        <v>55461703.999999993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19129786.850000024</v>
      </c>
      <c r="DC34" s="43">
        <v>19129786.850000024</v>
      </c>
      <c r="DD34" s="43">
        <v>0</v>
      </c>
      <c r="DE34" s="43">
        <v>2966712350.3800116</v>
      </c>
      <c r="DF34" s="43">
        <v>181198513.70000002</v>
      </c>
      <c r="DG34" s="43">
        <v>180366349.80000001</v>
      </c>
      <c r="DH34" s="43">
        <v>0</v>
      </c>
      <c r="DI34" s="43">
        <v>832163.9</v>
      </c>
      <c r="DJ34" s="43">
        <v>0</v>
      </c>
      <c r="DK34" s="43">
        <v>0</v>
      </c>
      <c r="DL34" s="43">
        <v>0</v>
      </c>
      <c r="DM34" s="43">
        <v>0</v>
      </c>
      <c r="DN34" s="43">
        <v>0</v>
      </c>
      <c r="DO34" s="43">
        <v>0</v>
      </c>
      <c r="DP34" s="43">
        <v>0</v>
      </c>
      <c r="DQ34" s="43">
        <v>0</v>
      </c>
      <c r="DR34" s="43">
        <v>2283815856.7300034</v>
      </c>
      <c r="DS34" s="43">
        <v>110740207.84</v>
      </c>
      <c r="DT34" s="43">
        <v>0</v>
      </c>
      <c r="DU34" s="43">
        <v>1265303392.04</v>
      </c>
      <c r="DV34" s="43">
        <v>0</v>
      </c>
      <c r="DW34" s="43">
        <v>920983180.80000305</v>
      </c>
      <c r="DX34" s="43">
        <v>-13210923.949999999</v>
      </c>
      <c r="DY34" s="43">
        <v>11729002.130000114</v>
      </c>
      <c r="DZ34" s="43">
        <v>11729002.130000114</v>
      </c>
      <c r="EA34" s="43">
        <v>0</v>
      </c>
      <c r="EB34" s="43">
        <v>0</v>
      </c>
      <c r="EC34" s="43">
        <v>489968977.82000828</v>
      </c>
      <c r="ED34" s="43">
        <v>489968977.82000828</v>
      </c>
      <c r="EE34" s="43">
        <v>0</v>
      </c>
      <c r="EF34" s="43">
        <v>0</v>
      </c>
      <c r="EG34" s="51"/>
      <c r="EH34" s="51"/>
      <c r="EI34" s="51"/>
    </row>
    <row r="35" spans="1:139" ht="12.75" customHeight="1">
      <c r="A35" s="40" t="s">
        <v>94</v>
      </c>
      <c r="B35" s="41">
        <v>1039</v>
      </c>
      <c r="C35" s="42" t="s">
        <v>415</v>
      </c>
      <c r="D35" s="43">
        <v>3590188234.1299996</v>
      </c>
      <c r="E35" s="43">
        <v>6250000</v>
      </c>
      <c r="F35" s="43">
        <v>0</v>
      </c>
      <c r="G35" s="43">
        <v>6250000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218889824.91000003</v>
      </c>
      <c r="O35" s="43">
        <v>218889824.91000003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22696266.039999999</v>
      </c>
      <c r="V35" s="43">
        <v>0</v>
      </c>
      <c r="W35" s="43">
        <v>0</v>
      </c>
      <c r="X35" s="43">
        <v>0</v>
      </c>
      <c r="Y35" s="43">
        <v>0</v>
      </c>
      <c r="Z35" s="43">
        <v>22696266.039999999</v>
      </c>
      <c r="AA35" s="43">
        <v>0</v>
      </c>
      <c r="AB35" s="43">
        <v>55824241.639999993</v>
      </c>
      <c r="AC35" s="43">
        <v>49064044.850000001</v>
      </c>
      <c r="AD35" s="43">
        <v>37630567.030000001</v>
      </c>
      <c r="AE35" s="43">
        <v>-30870370.240000002</v>
      </c>
      <c r="AF35" s="43">
        <v>0</v>
      </c>
      <c r="AG35" s="43">
        <v>3132749037.1499996</v>
      </c>
      <c r="AH35" s="43">
        <v>1398709876.6299999</v>
      </c>
      <c r="AI35" s="43">
        <v>3202369</v>
      </c>
      <c r="AJ35" s="43">
        <v>0</v>
      </c>
      <c r="AK35" s="43">
        <v>1730836791.52</v>
      </c>
      <c r="AL35" s="43">
        <v>0</v>
      </c>
      <c r="AM35" s="43">
        <v>0</v>
      </c>
      <c r="AN35" s="43">
        <v>74814795.700000003</v>
      </c>
      <c r="AO35" s="43">
        <v>62141222.759999998</v>
      </c>
      <c r="AP35" s="43">
        <v>12673572.939999999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29405014.420000002</v>
      </c>
      <c r="AW35" s="43">
        <v>0</v>
      </c>
      <c r="AX35" s="43">
        <v>0</v>
      </c>
      <c r="AY35" s="43">
        <v>29405014.420000002</v>
      </c>
      <c r="AZ35" s="43">
        <v>49559054.270000003</v>
      </c>
      <c r="BA35" s="43">
        <v>49559054.270000003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43726598.810000002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23622421.809999999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23622421.809999999</v>
      </c>
      <c r="CQ35" s="43">
        <v>0</v>
      </c>
      <c r="CR35" s="43">
        <v>0</v>
      </c>
      <c r="CS35" s="43">
        <v>0</v>
      </c>
      <c r="CT35" s="43">
        <v>0</v>
      </c>
      <c r="CU35" s="43">
        <v>20104177</v>
      </c>
      <c r="CV35" s="43">
        <v>20104177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732695481.03000033</v>
      </c>
      <c r="DF35" s="43">
        <v>904082371</v>
      </c>
      <c r="DG35" s="43">
        <v>904082371</v>
      </c>
      <c r="DH35" s="43">
        <v>0</v>
      </c>
      <c r="DI35" s="43">
        <v>0</v>
      </c>
      <c r="DJ35" s="43">
        <v>0</v>
      </c>
      <c r="DK35" s="43">
        <v>0</v>
      </c>
      <c r="DL35" s="43">
        <v>0</v>
      </c>
      <c r="DM35" s="43">
        <v>0</v>
      </c>
      <c r="DN35" s="43">
        <v>0</v>
      </c>
      <c r="DO35" s="43">
        <v>0</v>
      </c>
      <c r="DP35" s="43">
        <v>0</v>
      </c>
      <c r="DQ35" s="43">
        <v>0</v>
      </c>
      <c r="DR35" s="43">
        <v>2565501.3199999994</v>
      </c>
      <c r="DS35" s="43">
        <v>4580467.93</v>
      </c>
      <c r="DT35" s="43">
        <v>0</v>
      </c>
      <c r="DU35" s="43">
        <v>370585.39</v>
      </c>
      <c r="DV35" s="43">
        <v>0</v>
      </c>
      <c r="DW35" s="43">
        <v>0</v>
      </c>
      <c r="DX35" s="43">
        <v>-2385552</v>
      </c>
      <c r="DY35" s="43">
        <v>322064101</v>
      </c>
      <c r="DZ35" s="43">
        <v>322064101</v>
      </c>
      <c r="EA35" s="43">
        <v>-425094731.10000002</v>
      </c>
      <c r="EB35" s="43">
        <v>-425094731.10000002</v>
      </c>
      <c r="EC35" s="43">
        <v>-70921761.189999819</v>
      </c>
      <c r="ED35" s="43">
        <v>0</v>
      </c>
      <c r="EE35" s="43">
        <v>-70921761.189999819</v>
      </c>
      <c r="EF35" s="43">
        <v>0</v>
      </c>
      <c r="EG35" s="51"/>
      <c r="EH35" s="51"/>
      <c r="EI35" s="51"/>
    </row>
    <row r="36" spans="1:139" ht="12.75" customHeight="1">
      <c r="A36" s="40" t="s">
        <v>97</v>
      </c>
      <c r="B36" s="41">
        <v>1040</v>
      </c>
      <c r="C36" s="42" t="s">
        <v>415</v>
      </c>
      <c r="D36" s="43">
        <v>3250844008</v>
      </c>
      <c r="E36" s="43">
        <v>26290269</v>
      </c>
      <c r="F36" s="43">
        <v>0</v>
      </c>
      <c r="G36" s="43">
        <v>25794202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496067</v>
      </c>
      <c r="N36" s="43">
        <v>147179918</v>
      </c>
      <c r="O36" s="43">
        <v>147170616</v>
      </c>
      <c r="P36" s="43">
        <v>0</v>
      </c>
      <c r="Q36" s="43">
        <v>0</v>
      </c>
      <c r="R36" s="43">
        <v>0</v>
      </c>
      <c r="S36" s="43">
        <v>9302</v>
      </c>
      <c r="T36" s="43">
        <v>0</v>
      </c>
      <c r="U36" s="43">
        <v>4503493</v>
      </c>
      <c r="V36" s="43">
        <v>4503493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9519851</v>
      </c>
      <c r="AC36" s="43">
        <v>4593093</v>
      </c>
      <c r="AD36" s="43">
        <v>0</v>
      </c>
      <c r="AE36" s="43">
        <v>4926758</v>
      </c>
      <c r="AF36" s="43">
        <v>0</v>
      </c>
      <c r="AG36" s="43">
        <v>3021495200</v>
      </c>
      <c r="AH36" s="43">
        <v>1615341731</v>
      </c>
      <c r="AI36" s="43">
        <v>2401776</v>
      </c>
      <c r="AJ36" s="43">
        <v>0</v>
      </c>
      <c r="AK36" s="43">
        <v>1403751693</v>
      </c>
      <c r="AL36" s="43">
        <v>0</v>
      </c>
      <c r="AM36" s="43">
        <v>0</v>
      </c>
      <c r="AN36" s="43">
        <v>34334422</v>
      </c>
      <c r="AO36" s="43">
        <v>28149047</v>
      </c>
      <c r="AP36" s="43">
        <v>4061719</v>
      </c>
      <c r="AQ36" s="43">
        <v>0</v>
      </c>
      <c r="AR36" s="43">
        <v>0</v>
      </c>
      <c r="AS36" s="43">
        <v>49806396</v>
      </c>
      <c r="AT36" s="43">
        <v>-49806396</v>
      </c>
      <c r="AU36" s="43">
        <v>2123656</v>
      </c>
      <c r="AV36" s="43">
        <v>4776475</v>
      </c>
      <c r="AW36" s="43">
        <v>4727376</v>
      </c>
      <c r="AX36" s="43">
        <v>0</v>
      </c>
      <c r="AY36" s="43">
        <v>49099</v>
      </c>
      <c r="AZ36" s="43">
        <v>2744380</v>
      </c>
      <c r="BA36" s="43">
        <v>332769</v>
      </c>
      <c r="BB36" s="43">
        <v>2411611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55867218</v>
      </c>
      <c r="BI36" s="43">
        <v>49794394</v>
      </c>
      <c r="BJ36" s="43">
        <v>0</v>
      </c>
      <c r="BK36" s="43">
        <v>49794394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6072824</v>
      </c>
      <c r="CV36" s="43">
        <v>6072824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816586887</v>
      </c>
      <c r="DF36" s="43">
        <v>600000000</v>
      </c>
      <c r="DG36" s="43">
        <v>600000000</v>
      </c>
      <c r="DH36" s="43">
        <v>0</v>
      </c>
      <c r="DI36" s="43">
        <v>0</v>
      </c>
      <c r="DJ36" s="43">
        <v>0</v>
      </c>
      <c r="DK36" s="43">
        <v>0</v>
      </c>
      <c r="DL36" s="43">
        <v>0</v>
      </c>
      <c r="DM36" s="43">
        <v>0</v>
      </c>
      <c r="DN36" s="43">
        <v>0</v>
      </c>
      <c r="DO36" s="43">
        <v>0</v>
      </c>
      <c r="DP36" s="43">
        <v>0</v>
      </c>
      <c r="DQ36" s="43">
        <v>0</v>
      </c>
      <c r="DR36" s="43">
        <v>23837590</v>
      </c>
      <c r="DS36" s="43">
        <v>25975052</v>
      </c>
      <c r="DT36" s="43">
        <v>0</v>
      </c>
      <c r="DU36" s="43">
        <v>0</v>
      </c>
      <c r="DV36" s="43">
        <v>0</v>
      </c>
      <c r="DW36" s="43">
        <v>0</v>
      </c>
      <c r="DX36" s="43">
        <v>-2137462</v>
      </c>
      <c r="DY36" s="43">
        <v>101775998</v>
      </c>
      <c r="DZ36" s="43">
        <v>101775998</v>
      </c>
      <c r="EA36" s="43">
        <v>0</v>
      </c>
      <c r="EB36" s="43">
        <v>0</v>
      </c>
      <c r="EC36" s="43">
        <v>90973299</v>
      </c>
      <c r="ED36" s="43">
        <v>90973299</v>
      </c>
      <c r="EE36" s="43">
        <v>0</v>
      </c>
      <c r="EF36" s="43">
        <v>0</v>
      </c>
      <c r="EG36" s="51"/>
      <c r="EH36" s="51"/>
      <c r="EI36" s="51"/>
    </row>
    <row r="37" spans="1:139" ht="12.75" customHeight="1">
      <c r="A37" s="40" t="s">
        <v>100</v>
      </c>
      <c r="B37" s="41">
        <v>1043</v>
      </c>
      <c r="C37" s="42" t="s">
        <v>415</v>
      </c>
      <c r="D37" s="43">
        <v>21126005842.499996</v>
      </c>
      <c r="E37" s="43">
        <v>10998971.42</v>
      </c>
      <c r="F37" s="43">
        <v>0</v>
      </c>
      <c r="G37" s="43">
        <v>10998971.42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2045753491.3299999</v>
      </c>
      <c r="O37" s="43">
        <v>2045753491.3299999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24329.980000078678</v>
      </c>
      <c r="V37" s="43">
        <v>0</v>
      </c>
      <c r="W37" s="43">
        <v>0</v>
      </c>
      <c r="X37" s="43">
        <v>0</v>
      </c>
      <c r="Y37" s="43">
        <v>0</v>
      </c>
      <c r="Z37" s="43">
        <v>24329.980000078678</v>
      </c>
      <c r="AA37" s="43">
        <v>0</v>
      </c>
      <c r="AB37" s="43">
        <v>520853548.69000101</v>
      </c>
      <c r="AC37" s="43">
        <v>0</v>
      </c>
      <c r="AD37" s="43">
        <v>493110603.25</v>
      </c>
      <c r="AE37" s="43">
        <v>27742945.440001026</v>
      </c>
      <c r="AF37" s="43">
        <v>0</v>
      </c>
      <c r="AG37" s="43">
        <v>17587690814.869995</v>
      </c>
      <c r="AH37" s="43">
        <v>12442373575.099998</v>
      </c>
      <c r="AI37" s="43">
        <v>0</v>
      </c>
      <c r="AJ37" s="43">
        <v>2177023.0499999998</v>
      </c>
      <c r="AK37" s="43">
        <v>5143140216.7199993</v>
      </c>
      <c r="AL37" s="43">
        <v>0</v>
      </c>
      <c r="AM37" s="43">
        <v>0</v>
      </c>
      <c r="AN37" s="43">
        <v>348460368.46000016</v>
      </c>
      <c r="AO37" s="43">
        <v>341086492.43000001</v>
      </c>
      <c r="AP37" s="43">
        <v>28273804.160000004</v>
      </c>
      <c r="AQ37" s="43">
        <v>0</v>
      </c>
      <c r="AR37" s="43">
        <v>99791536.879999995</v>
      </c>
      <c r="AS37" s="43">
        <v>765752371.88999999</v>
      </c>
      <c r="AT37" s="43">
        <v>-886443836.89999998</v>
      </c>
      <c r="AU37" s="43">
        <v>0</v>
      </c>
      <c r="AV37" s="43">
        <v>411372876.04000002</v>
      </c>
      <c r="AW37" s="43">
        <v>130895831.5</v>
      </c>
      <c r="AX37" s="43">
        <v>0</v>
      </c>
      <c r="AY37" s="43">
        <v>280477044.54000002</v>
      </c>
      <c r="AZ37" s="43">
        <v>200851441.70999998</v>
      </c>
      <c r="BA37" s="43">
        <v>197300366.63999999</v>
      </c>
      <c r="BB37" s="43">
        <v>0</v>
      </c>
      <c r="BC37" s="43">
        <v>3551075.0700000003</v>
      </c>
      <c r="BD37" s="43">
        <v>0</v>
      </c>
      <c r="BE37" s="43">
        <v>0</v>
      </c>
      <c r="BF37" s="43">
        <v>0</v>
      </c>
      <c r="BG37" s="43">
        <v>0</v>
      </c>
      <c r="BH37" s="43">
        <v>532865556.07999998</v>
      </c>
      <c r="BI37" s="43">
        <v>5188076.37</v>
      </c>
      <c r="BJ37" s="43">
        <v>0</v>
      </c>
      <c r="BK37" s="43">
        <v>5188076.37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2721970.78</v>
      </c>
      <c r="CF37" s="43">
        <v>2721970.78</v>
      </c>
      <c r="CG37" s="43">
        <v>0</v>
      </c>
      <c r="CH37" s="43">
        <v>0</v>
      </c>
      <c r="CI37" s="43">
        <v>0</v>
      </c>
      <c r="CJ37" s="43">
        <v>474041077.37</v>
      </c>
      <c r="CK37" s="43">
        <v>0</v>
      </c>
      <c r="CL37" s="43">
        <v>0</v>
      </c>
      <c r="CM37" s="43">
        <v>18420052.760000002</v>
      </c>
      <c r="CN37" s="43">
        <v>0</v>
      </c>
      <c r="CO37" s="43">
        <v>0</v>
      </c>
      <c r="CP37" s="43">
        <v>455621024.61000001</v>
      </c>
      <c r="CQ37" s="43">
        <v>0</v>
      </c>
      <c r="CR37" s="43">
        <v>0</v>
      </c>
      <c r="CS37" s="43">
        <v>0</v>
      </c>
      <c r="CT37" s="43">
        <v>0</v>
      </c>
      <c r="CU37" s="43">
        <v>50914431.560000002</v>
      </c>
      <c r="CV37" s="43">
        <v>50914431.560000002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0</v>
      </c>
      <c r="DC37" s="43">
        <v>0</v>
      </c>
      <c r="DD37" s="43">
        <v>0</v>
      </c>
      <c r="DE37" s="43">
        <v>5458339809.96</v>
      </c>
      <c r="DF37" s="43">
        <v>722895310.22000003</v>
      </c>
      <c r="DG37" s="43">
        <v>722895310.22000003</v>
      </c>
      <c r="DH37" s="43">
        <v>0</v>
      </c>
      <c r="DI37" s="43">
        <v>0</v>
      </c>
      <c r="DJ37" s="43">
        <v>0</v>
      </c>
      <c r="DK37" s="43">
        <v>0</v>
      </c>
      <c r="DL37" s="43">
        <v>645524957.78999996</v>
      </c>
      <c r="DM37" s="43">
        <v>0</v>
      </c>
      <c r="DN37" s="43">
        <v>0</v>
      </c>
      <c r="DO37" s="43">
        <v>0</v>
      </c>
      <c r="DP37" s="43">
        <v>0</v>
      </c>
      <c r="DQ37" s="43">
        <v>645524957.78999996</v>
      </c>
      <c r="DR37" s="43">
        <v>3853241072.48</v>
      </c>
      <c r="DS37" s="43">
        <v>160140453.59</v>
      </c>
      <c r="DT37" s="43">
        <v>0</v>
      </c>
      <c r="DU37" s="43">
        <v>3336064927.48</v>
      </c>
      <c r="DV37" s="43">
        <v>0</v>
      </c>
      <c r="DW37" s="43">
        <v>357035691.41000003</v>
      </c>
      <c r="DX37" s="43">
        <v>0</v>
      </c>
      <c r="DY37" s="43">
        <v>0</v>
      </c>
      <c r="DZ37" s="43">
        <v>0</v>
      </c>
      <c r="EA37" s="43">
        <v>0</v>
      </c>
      <c r="EB37" s="43">
        <v>0</v>
      </c>
      <c r="EC37" s="43">
        <v>236678469.47000009</v>
      </c>
      <c r="ED37" s="43">
        <v>236678469.47000009</v>
      </c>
      <c r="EE37" s="43">
        <v>0</v>
      </c>
      <c r="EF37" s="43">
        <v>0</v>
      </c>
      <c r="EG37" s="51"/>
      <c r="EH37" s="51"/>
      <c r="EI37" s="51"/>
    </row>
    <row r="38" spans="1:139" ht="12.75" customHeight="1">
      <c r="A38" s="40" t="s">
        <v>103</v>
      </c>
      <c r="B38" s="41">
        <v>1044</v>
      </c>
      <c r="C38" s="42" t="s">
        <v>415</v>
      </c>
      <c r="D38" s="43">
        <v>18655077630.280003</v>
      </c>
      <c r="E38" s="43">
        <v>14515011.779999999</v>
      </c>
      <c r="F38" s="43">
        <v>0</v>
      </c>
      <c r="G38" s="43">
        <v>14515011.779999999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225265176.44</v>
      </c>
      <c r="O38" s="43">
        <v>225265176.44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524645958.73000002</v>
      </c>
      <c r="AC38" s="43">
        <v>0</v>
      </c>
      <c r="AD38" s="43">
        <v>362378264.29000002</v>
      </c>
      <c r="AE38" s="43">
        <v>162267694.44</v>
      </c>
      <c r="AF38" s="43">
        <v>0</v>
      </c>
      <c r="AG38" s="43">
        <v>16965011090.740002</v>
      </c>
      <c r="AH38" s="43">
        <v>8424970435.9799995</v>
      </c>
      <c r="AI38" s="43">
        <v>54921365.700000003</v>
      </c>
      <c r="AJ38" s="43">
        <v>0</v>
      </c>
      <c r="AK38" s="43">
        <v>8485119289.0600014</v>
      </c>
      <c r="AL38" s="43">
        <v>0</v>
      </c>
      <c r="AM38" s="43">
        <v>0</v>
      </c>
      <c r="AN38" s="43">
        <v>338050660.40000004</v>
      </c>
      <c r="AO38" s="43">
        <v>275769370.06999999</v>
      </c>
      <c r="AP38" s="43">
        <v>5199878.22</v>
      </c>
      <c r="AQ38" s="43">
        <v>0</v>
      </c>
      <c r="AR38" s="43">
        <v>0</v>
      </c>
      <c r="AS38" s="43">
        <v>383590947.31</v>
      </c>
      <c r="AT38" s="43">
        <v>-326509535.19999999</v>
      </c>
      <c r="AU38" s="43">
        <v>0</v>
      </c>
      <c r="AV38" s="43">
        <v>133853186.27</v>
      </c>
      <c r="AW38" s="43">
        <v>0</v>
      </c>
      <c r="AX38" s="43">
        <v>0</v>
      </c>
      <c r="AY38" s="43">
        <v>133853186.27</v>
      </c>
      <c r="AZ38" s="43">
        <v>453736545.92000002</v>
      </c>
      <c r="BA38" s="43">
        <v>449619285.44999999</v>
      </c>
      <c r="BB38" s="43">
        <v>4117260.47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222966424.33000001</v>
      </c>
      <c r="BI38" s="43">
        <v>2792818.74</v>
      </c>
      <c r="BJ38" s="43">
        <v>0</v>
      </c>
      <c r="BK38" s="43">
        <v>2792818.74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38719730.719999999</v>
      </c>
      <c r="CF38" s="43">
        <v>38719730.719999999</v>
      </c>
      <c r="CG38" s="43">
        <v>0</v>
      </c>
      <c r="CH38" s="43">
        <v>0</v>
      </c>
      <c r="CI38" s="43">
        <v>0</v>
      </c>
      <c r="CJ38" s="43">
        <v>170354317.05000001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170354317.05000001</v>
      </c>
      <c r="CQ38" s="43">
        <v>0</v>
      </c>
      <c r="CR38" s="43">
        <v>0</v>
      </c>
      <c r="CS38" s="43">
        <v>0</v>
      </c>
      <c r="CT38" s="43">
        <v>0</v>
      </c>
      <c r="CU38" s="43">
        <v>11099557.82</v>
      </c>
      <c r="CV38" s="43">
        <v>11099557.82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0</v>
      </c>
      <c r="DC38" s="43">
        <v>0</v>
      </c>
      <c r="DD38" s="43">
        <v>0</v>
      </c>
      <c r="DE38" s="43">
        <v>4887872090.8199997</v>
      </c>
      <c r="DF38" s="43">
        <v>2100000000</v>
      </c>
      <c r="DG38" s="43">
        <v>2100000000</v>
      </c>
      <c r="DH38" s="43">
        <v>0</v>
      </c>
      <c r="DI38" s="43">
        <v>0</v>
      </c>
      <c r="DJ38" s="43">
        <v>0</v>
      </c>
      <c r="DK38" s="43">
        <v>0</v>
      </c>
      <c r="DL38" s="43">
        <v>0</v>
      </c>
      <c r="DM38" s="43">
        <v>0</v>
      </c>
      <c r="DN38" s="43">
        <v>0</v>
      </c>
      <c r="DO38" s="43">
        <v>0</v>
      </c>
      <c r="DP38" s="43">
        <v>0</v>
      </c>
      <c r="DQ38" s="43">
        <v>0</v>
      </c>
      <c r="DR38" s="43">
        <v>121585784.96000004</v>
      </c>
      <c r="DS38" s="43">
        <v>117640952.87</v>
      </c>
      <c r="DT38" s="43">
        <v>57265353.310000002</v>
      </c>
      <c r="DU38" s="43">
        <v>50037203.609999999</v>
      </c>
      <c r="DV38" s="43">
        <v>23391670.109999999</v>
      </c>
      <c r="DW38" s="43">
        <v>-128451957.23999999</v>
      </c>
      <c r="DX38" s="43">
        <v>1702562.3</v>
      </c>
      <c r="DY38" s="43">
        <v>1749748458.0799999</v>
      </c>
      <c r="DZ38" s="43">
        <v>1749748458.0799999</v>
      </c>
      <c r="EA38" s="43">
        <v>0</v>
      </c>
      <c r="EB38" s="43">
        <v>0</v>
      </c>
      <c r="EC38" s="43">
        <v>916537847.77999997</v>
      </c>
      <c r="ED38" s="43">
        <v>916537847.77999997</v>
      </c>
      <c r="EE38" s="43">
        <v>0</v>
      </c>
      <c r="EF38" s="43">
        <v>0</v>
      </c>
      <c r="EG38" s="51"/>
      <c r="EH38" s="51"/>
      <c r="EI38" s="51"/>
    </row>
    <row r="39" spans="1:139" ht="12.75" customHeight="1">
      <c r="A39" s="40" t="s">
        <v>106</v>
      </c>
      <c r="B39" s="41">
        <v>1045</v>
      </c>
      <c r="C39" s="42" t="s">
        <v>415</v>
      </c>
      <c r="D39" s="43">
        <v>59603494877.790001</v>
      </c>
      <c r="E39" s="43">
        <v>5859248.5499999998</v>
      </c>
      <c r="F39" s="43">
        <v>0</v>
      </c>
      <c r="G39" s="43">
        <v>5859248.5499999998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1449570050.4200001</v>
      </c>
      <c r="O39" s="43">
        <v>1352553762.9400001</v>
      </c>
      <c r="P39" s="43">
        <v>0</v>
      </c>
      <c r="Q39" s="43">
        <v>0</v>
      </c>
      <c r="R39" s="43">
        <v>0</v>
      </c>
      <c r="S39" s="43">
        <v>97016287.480000004</v>
      </c>
      <c r="T39" s="43">
        <v>0</v>
      </c>
      <c r="U39" s="43">
        <v>33672680.879999995</v>
      </c>
      <c r="V39" s="43">
        <v>33267569.239999998</v>
      </c>
      <c r="W39" s="43">
        <v>0</v>
      </c>
      <c r="X39" s="43">
        <v>395014.24</v>
      </c>
      <c r="Y39" s="43">
        <v>0</v>
      </c>
      <c r="Z39" s="43">
        <v>10097.4</v>
      </c>
      <c r="AA39" s="43">
        <v>0</v>
      </c>
      <c r="AB39" s="43">
        <v>654373357.45000005</v>
      </c>
      <c r="AC39" s="43">
        <v>264605912.77000001</v>
      </c>
      <c r="AD39" s="43">
        <v>298556263.92000002</v>
      </c>
      <c r="AE39" s="43">
        <v>91211180.760000005</v>
      </c>
      <c r="AF39" s="43">
        <v>0</v>
      </c>
      <c r="AG39" s="43">
        <v>55811734500.669998</v>
      </c>
      <c r="AH39" s="43">
        <v>15377689923.150005</v>
      </c>
      <c r="AI39" s="43">
        <v>3011482718.8599997</v>
      </c>
      <c r="AJ39" s="43">
        <v>0</v>
      </c>
      <c r="AK39" s="43">
        <v>37422561858.659996</v>
      </c>
      <c r="AL39" s="43">
        <v>0</v>
      </c>
      <c r="AM39" s="43">
        <v>0</v>
      </c>
      <c r="AN39" s="43">
        <v>1183494137.3900003</v>
      </c>
      <c r="AO39" s="43">
        <v>466062529.60000002</v>
      </c>
      <c r="AP39" s="43">
        <v>12727507.48</v>
      </c>
      <c r="AQ39" s="43">
        <v>0</v>
      </c>
      <c r="AR39" s="43">
        <v>21737294.699999999</v>
      </c>
      <c r="AS39" s="43">
        <v>3376551000</v>
      </c>
      <c r="AT39" s="43">
        <v>-2693584194.3899999</v>
      </c>
      <c r="AU39" s="43">
        <v>0</v>
      </c>
      <c r="AV39" s="43">
        <v>47070786.109999999</v>
      </c>
      <c r="AW39" s="43">
        <v>0</v>
      </c>
      <c r="AX39" s="43">
        <v>0</v>
      </c>
      <c r="AY39" s="43">
        <v>47070786.109999999</v>
      </c>
      <c r="AZ39" s="43">
        <v>403565076.98000002</v>
      </c>
      <c r="BA39" s="43">
        <v>403565076.98000002</v>
      </c>
      <c r="BB39" s="43">
        <v>0</v>
      </c>
      <c r="BC39" s="43">
        <v>0</v>
      </c>
      <c r="BD39" s="43">
        <v>14155039.34</v>
      </c>
      <c r="BE39" s="43">
        <v>0</v>
      </c>
      <c r="BF39" s="43">
        <v>0</v>
      </c>
      <c r="BG39" s="43">
        <v>14155039.34</v>
      </c>
      <c r="BH39" s="43">
        <v>51358783.989999987</v>
      </c>
      <c r="BI39" s="43">
        <v>1486207.7</v>
      </c>
      <c r="BJ39" s="43">
        <v>0</v>
      </c>
      <c r="BK39" s="43">
        <v>1486207.7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38673835.829999983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38673835.829999983</v>
      </c>
      <c r="CQ39" s="43">
        <v>0</v>
      </c>
      <c r="CR39" s="43">
        <v>0</v>
      </c>
      <c r="CS39" s="43">
        <v>0</v>
      </c>
      <c r="CT39" s="43">
        <v>0</v>
      </c>
      <c r="CU39" s="43">
        <v>11198740.460000001</v>
      </c>
      <c r="CV39" s="43">
        <v>11198740.460000001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0</v>
      </c>
      <c r="DC39" s="43">
        <v>0</v>
      </c>
      <c r="DD39" s="43">
        <v>0</v>
      </c>
      <c r="DE39" s="43">
        <v>23352167319.670013</v>
      </c>
      <c r="DF39" s="43">
        <v>433300000</v>
      </c>
      <c r="DG39" s="43">
        <v>433300000</v>
      </c>
      <c r="DH39" s="43">
        <v>0</v>
      </c>
      <c r="DI39" s="43">
        <v>0</v>
      </c>
      <c r="DJ39" s="43">
        <v>0</v>
      </c>
      <c r="DK39" s="43">
        <v>0</v>
      </c>
      <c r="DL39" s="43">
        <v>0</v>
      </c>
      <c r="DM39" s="43">
        <v>0</v>
      </c>
      <c r="DN39" s="43">
        <v>0</v>
      </c>
      <c r="DO39" s="43">
        <v>0</v>
      </c>
      <c r="DP39" s="43">
        <v>0</v>
      </c>
      <c r="DQ39" s="43">
        <v>0</v>
      </c>
      <c r="DR39" s="43">
        <v>20059189874.630001</v>
      </c>
      <c r="DS39" s="43">
        <v>254255038.09999999</v>
      </c>
      <c r="DT39" s="43">
        <v>0</v>
      </c>
      <c r="DU39" s="43">
        <v>14638432777.41</v>
      </c>
      <c r="DV39" s="43">
        <v>966871502.5</v>
      </c>
      <c r="DW39" s="43">
        <v>4199630556.6199999</v>
      </c>
      <c r="DX39" s="43">
        <v>0</v>
      </c>
      <c r="DY39" s="43">
        <v>0</v>
      </c>
      <c r="DZ39" s="43">
        <v>0</v>
      </c>
      <c r="EA39" s="43">
        <v>0</v>
      </c>
      <c r="EB39" s="43">
        <v>0</v>
      </c>
      <c r="EC39" s="43">
        <v>2859677445.0400138</v>
      </c>
      <c r="ED39" s="43">
        <v>2859677445.0400138</v>
      </c>
      <c r="EE39" s="43">
        <v>0</v>
      </c>
      <c r="EF39" s="43">
        <v>0</v>
      </c>
      <c r="EG39" s="51"/>
      <c r="EH39" s="51"/>
      <c r="EI39" s="51"/>
    </row>
    <row r="40" spans="1:139" ht="12.75" customHeight="1">
      <c r="A40" s="40" t="s">
        <v>109</v>
      </c>
      <c r="B40" s="41">
        <v>1046</v>
      </c>
      <c r="C40" s="42" t="s">
        <v>415</v>
      </c>
      <c r="D40" s="43">
        <v>1165040731.7</v>
      </c>
      <c r="E40" s="43">
        <v>1679870.67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1679870.67</v>
      </c>
      <c r="N40" s="43">
        <v>83021148.239999995</v>
      </c>
      <c r="O40" s="43">
        <v>83021148.239999995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372019.73</v>
      </c>
      <c r="V40" s="43">
        <v>0</v>
      </c>
      <c r="W40" s="43">
        <v>0</v>
      </c>
      <c r="X40" s="43">
        <v>0</v>
      </c>
      <c r="Y40" s="43">
        <v>0</v>
      </c>
      <c r="Z40" s="43">
        <v>372019.73</v>
      </c>
      <c r="AA40" s="43">
        <v>0</v>
      </c>
      <c r="AB40" s="43">
        <v>76634687.74000001</v>
      </c>
      <c r="AC40" s="43">
        <v>33019180.870000001</v>
      </c>
      <c r="AD40" s="43">
        <v>1763937.54</v>
      </c>
      <c r="AE40" s="43">
        <v>41851569.329999998</v>
      </c>
      <c r="AF40" s="43">
        <v>0</v>
      </c>
      <c r="AG40" s="43">
        <v>949982620.11000001</v>
      </c>
      <c r="AH40" s="43">
        <v>633205504.12</v>
      </c>
      <c r="AI40" s="43">
        <v>2441502.7300000004</v>
      </c>
      <c r="AJ40" s="43">
        <v>0</v>
      </c>
      <c r="AK40" s="43">
        <v>314335613.25999999</v>
      </c>
      <c r="AL40" s="43">
        <v>0</v>
      </c>
      <c r="AM40" s="43">
        <v>0</v>
      </c>
      <c r="AN40" s="43">
        <v>14674201.440000001</v>
      </c>
      <c r="AO40" s="43">
        <v>10000604.130000001</v>
      </c>
      <c r="AP40" s="43">
        <v>4673597.3099999996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11197083.4</v>
      </c>
      <c r="AW40" s="43">
        <v>0</v>
      </c>
      <c r="AX40" s="43">
        <v>0</v>
      </c>
      <c r="AY40" s="43">
        <v>11197083.4</v>
      </c>
      <c r="AZ40" s="43">
        <v>27479100.370000001</v>
      </c>
      <c r="BA40" s="43">
        <v>26715667.870000001</v>
      </c>
      <c r="BB40" s="43">
        <v>763432.5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60616789.810000002</v>
      </c>
      <c r="BI40" s="43">
        <v>26489867.920000002</v>
      </c>
      <c r="BJ40" s="43">
        <v>0</v>
      </c>
      <c r="BK40" s="43">
        <v>0</v>
      </c>
      <c r="BL40" s="43">
        <v>0</v>
      </c>
      <c r="BM40" s="43">
        <v>0</v>
      </c>
      <c r="BN40" s="43">
        <v>0</v>
      </c>
      <c r="BO40" s="43">
        <v>0</v>
      </c>
      <c r="BP40" s="43">
        <v>26489867.920000002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19997232.120000005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19997232.120000005</v>
      </c>
      <c r="CQ40" s="43">
        <v>0</v>
      </c>
      <c r="CR40" s="43">
        <v>0</v>
      </c>
      <c r="CS40" s="43">
        <v>0</v>
      </c>
      <c r="CT40" s="43">
        <v>0</v>
      </c>
      <c r="CU40" s="43">
        <v>14129689.77</v>
      </c>
      <c r="CV40" s="43">
        <v>14129689.77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</v>
      </c>
      <c r="DC40" s="43">
        <v>0</v>
      </c>
      <c r="DD40" s="43">
        <v>0</v>
      </c>
      <c r="DE40" s="43">
        <v>358239407.92999995</v>
      </c>
      <c r="DF40" s="43">
        <v>105265400</v>
      </c>
      <c r="DG40" s="43">
        <v>105265400</v>
      </c>
      <c r="DH40" s="43">
        <v>0</v>
      </c>
      <c r="DI40" s="43">
        <v>0</v>
      </c>
      <c r="DJ40" s="43">
        <v>0</v>
      </c>
      <c r="DK40" s="43">
        <v>0</v>
      </c>
      <c r="DL40" s="43">
        <v>11615700</v>
      </c>
      <c r="DM40" s="43">
        <v>0</v>
      </c>
      <c r="DN40" s="43">
        <v>0</v>
      </c>
      <c r="DO40" s="43">
        <v>0</v>
      </c>
      <c r="DP40" s="43">
        <v>0</v>
      </c>
      <c r="DQ40" s="43">
        <v>11615700</v>
      </c>
      <c r="DR40" s="43">
        <v>-7188001.5300000003</v>
      </c>
      <c r="DS40" s="43">
        <v>0</v>
      </c>
      <c r="DT40" s="43">
        <v>0</v>
      </c>
      <c r="DU40" s="43">
        <v>0</v>
      </c>
      <c r="DV40" s="43">
        <v>0</v>
      </c>
      <c r="DW40" s="43">
        <v>0</v>
      </c>
      <c r="DX40" s="43">
        <v>-7188001.5300000003</v>
      </c>
      <c r="DY40" s="43">
        <v>345206365.66000003</v>
      </c>
      <c r="DZ40" s="43">
        <v>345206365.66000003</v>
      </c>
      <c r="EA40" s="43">
        <v>-195479.04000000001</v>
      </c>
      <c r="EB40" s="43">
        <v>-195479.04000000001</v>
      </c>
      <c r="EC40" s="43">
        <v>-96464577.159999996</v>
      </c>
      <c r="ED40" s="43">
        <v>0</v>
      </c>
      <c r="EE40" s="43">
        <v>-96464577.159999996</v>
      </c>
      <c r="EF40" s="43">
        <v>0</v>
      </c>
      <c r="EG40" s="51"/>
      <c r="EH40" s="51"/>
      <c r="EI40" s="51"/>
    </row>
    <row r="41" spans="1:139" ht="12.75" customHeight="1">
      <c r="A41" s="40" t="s">
        <v>112</v>
      </c>
      <c r="B41" s="41">
        <v>1048</v>
      </c>
      <c r="C41" s="42" t="s">
        <v>415</v>
      </c>
      <c r="D41" s="43">
        <v>13327597549.48</v>
      </c>
      <c r="E41" s="43">
        <v>35989513.359999999</v>
      </c>
      <c r="F41" s="43">
        <v>0</v>
      </c>
      <c r="G41" s="43">
        <v>35989513.359999999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753952867.74000001</v>
      </c>
      <c r="O41" s="43">
        <v>492376844.87</v>
      </c>
      <c r="P41" s="43">
        <v>261576022.87</v>
      </c>
      <c r="Q41" s="43">
        <v>0</v>
      </c>
      <c r="R41" s="43">
        <v>0</v>
      </c>
      <c r="S41" s="43">
        <v>0</v>
      </c>
      <c r="T41" s="43">
        <v>0</v>
      </c>
      <c r="U41" s="43">
        <v>7008285.6900000004</v>
      </c>
      <c r="V41" s="43">
        <v>0</v>
      </c>
      <c r="W41" s="43">
        <v>0</v>
      </c>
      <c r="X41" s="43">
        <v>0</v>
      </c>
      <c r="Y41" s="43">
        <v>-500000</v>
      </c>
      <c r="Z41" s="43">
        <v>7508285.6900000004</v>
      </c>
      <c r="AA41" s="43">
        <v>0</v>
      </c>
      <c r="AB41" s="43">
        <v>1154858213.1799998</v>
      </c>
      <c r="AC41" s="43">
        <v>8260142.25</v>
      </c>
      <c r="AD41" s="43">
        <v>157733671.88999999</v>
      </c>
      <c r="AE41" s="43">
        <v>988864399.03999996</v>
      </c>
      <c r="AF41" s="43">
        <v>0</v>
      </c>
      <c r="AG41" s="43">
        <v>10646745113.939999</v>
      </c>
      <c r="AH41" s="43">
        <v>7414657904.5499992</v>
      </c>
      <c r="AI41" s="43">
        <v>451178687.18999994</v>
      </c>
      <c r="AJ41" s="43">
        <v>0</v>
      </c>
      <c r="AK41" s="43">
        <v>2780908522.1999998</v>
      </c>
      <c r="AL41" s="43">
        <v>0</v>
      </c>
      <c r="AM41" s="43">
        <v>0</v>
      </c>
      <c r="AN41" s="43">
        <v>187425140.21000004</v>
      </c>
      <c r="AO41" s="43">
        <v>140069843.78</v>
      </c>
      <c r="AP41" s="43">
        <v>18929820.370000001</v>
      </c>
      <c r="AQ41" s="43">
        <v>0</v>
      </c>
      <c r="AR41" s="43">
        <v>0</v>
      </c>
      <c r="AS41" s="43">
        <v>489781779.17000002</v>
      </c>
      <c r="AT41" s="43">
        <v>-461356303.11000001</v>
      </c>
      <c r="AU41" s="43">
        <v>0</v>
      </c>
      <c r="AV41" s="43">
        <v>130000000</v>
      </c>
      <c r="AW41" s="43">
        <v>0</v>
      </c>
      <c r="AX41" s="43">
        <v>0</v>
      </c>
      <c r="AY41" s="43">
        <v>130000000</v>
      </c>
      <c r="AZ41" s="43">
        <v>409724819.54000002</v>
      </c>
      <c r="BA41" s="43">
        <v>409724819.54000002</v>
      </c>
      <c r="BB41" s="43">
        <v>0</v>
      </c>
      <c r="BC41" s="43">
        <v>0</v>
      </c>
      <c r="BD41" s="43">
        <v>1893595.82</v>
      </c>
      <c r="BE41" s="43">
        <v>0</v>
      </c>
      <c r="BF41" s="43">
        <v>0</v>
      </c>
      <c r="BG41" s="43">
        <v>1893595.82</v>
      </c>
      <c r="BH41" s="43">
        <v>208526748.32000002</v>
      </c>
      <c r="BI41" s="43">
        <v>14544711.199999999</v>
      </c>
      <c r="BJ41" s="43">
        <v>0</v>
      </c>
      <c r="BK41" s="43">
        <v>14544711.199999999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144566245.93000004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144566245.93000004</v>
      </c>
      <c r="CQ41" s="43">
        <v>0</v>
      </c>
      <c r="CR41" s="43">
        <v>0</v>
      </c>
      <c r="CS41" s="43">
        <v>0</v>
      </c>
      <c r="CT41" s="43">
        <v>0</v>
      </c>
      <c r="CU41" s="43">
        <v>49378131.939999998</v>
      </c>
      <c r="CV41" s="43">
        <v>49378131.939999998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37659.25</v>
      </c>
      <c r="DC41" s="43">
        <v>37659.25</v>
      </c>
      <c r="DD41" s="43">
        <v>0</v>
      </c>
      <c r="DE41" s="43">
        <v>1583537602.8700008</v>
      </c>
      <c r="DF41" s="43">
        <v>1070678142.13</v>
      </c>
      <c r="DG41" s="43">
        <v>1070678142.13</v>
      </c>
      <c r="DH41" s="43">
        <v>0</v>
      </c>
      <c r="DI41" s="43">
        <v>0</v>
      </c>
      <c r="DJ41" s="43">
        <v>0</v>
      </c>
      <c r="DK41" s="43">
        <v>0</v>
      </c>
      <c r="DL41" s="43">
        <v>0</v>
      </c>
      <c r="DM41" s="43">
        <v>0</v>
      </c>
      <c r="DN41" s="43">
        <v>0</v>
      </c>
      <c r="DO41" s="43">
        <v>0</v>
      </c>
      <c r="DP41" s="43">
        <v>0</v>
      </c>
      <c r="DQ41" s="43">
        <v>0</v>
      </c>
      <c r="DR41" s="43">
        <v>11057957.890000001</v>
      </c>
      <c r="DS41" s="43">
        <v>30086770.739999998</v>
      </c>
      <c r="DT41" s="43">
        <v>0</v>
      </c>
      <c r="DU41" s="43">
        <v>150564.48000000001</v>
      </c>
      <c r="DV41" s="43">
        <v>0</v>
      </c>
      <c r="DW41" s="43">
        <v>-19179377.329999998</v>
      </c>
      <c r="DX41" s="43">
        <v>0</v>
      </c>
      <c r="DY41" s="43">
        <v>436295397</v>
      </c>
      <c r="DZ41" s="43">
        <v>436295397</v>
      </c>
      <c r="EA41" s="43">
        <v>0</v>
      </c>
      <c r="EB41" s="43">
        <v>0</v>
      </c>
      <c r="EC41" s="43">
        <v>65506105.850000888</v>
      </c>
      <c r="ED41" s="43">
        <v>65506105.850000888</v>
      </c>
      <c r="EE41" s="43">
        <v>0</v>
      </c>
      <c r="EF41" s="43">
        <v>0</v>
      </c>
      <c r="EG41" s="51"/>
      <c r="EH41" s="51"/>
      <c r="EI41" s="51"/>
    </row>
    <row r="42" spans="1:139" ht="12.75" customHeight="1">
      <c r="A42" s="40" t="s">
        <v>115</v>
      </c>
      <c r="B42" s="41">
        <v>1049</v>
      </c>
      <c r="C42" s="42" t="s">
        <v>415</v>
      </c>
      <c r="D42" s="43">
        <v>6009429983.3800001</v>
      </c>
      <c r="E42" s="43">
        <v>2424609.1199999992</v>
      </c>
      <c r="F42" s="43">
        <v>0</v>
      </c>
      <c r="G42" s="43">
        <v>2424609.1199999992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152662252.43000004</v>
      </c>
      <c r="O42" s="43">
        <v>154626453.65000004</v>
      </c>
      <c r="P42" s="43">
        <v>0</v>
      </c>
      <c r="Q42" s="43">
        <v>0</v>
      </c>
      <c r="R42" s="43">
        <v>0</v>
      </c>
      <c r="S42" s="43">
        <v>-1964201.2200000002</v>
      </c>
      <c r="T42" s="43">
        <v>0</v>
      </c>
      <c r="U42" s="43">
        <v>2667086.400000006</v>
      </c>
      <c r="V42" s="43">
        <v>0</v>
      </c>
      <c r="W42" s="43">
        <v>0</v>
      </c>
      <c r="X42" s="43">
        <v>0</v>
      </c>
      <c r="Y42" s="43">
        <v>0</v>
      </c>
      <c r="Z42" s="43">
        <v>2667086.400000006</v>
      </c>
      <c r="AA42" s="43">
        <v>0</v>
      </c>
      <c r="AB42" s="43">
        <v>143785168.75</v>
      </c>
      <c r="AC42" s="43">
        <v>21411430.93</v>
      </c>
      <c r="AD42" s="43">
        <v>59686403.369999975</v>
      </c>
      <c r="AE42" s="43">
        <v>62687334.45000001</v>
      </c>
      <c r="AF42" s="43">
        <v>0</v>
      </c>
      <c r="AG42" s="43">
        <v>5613711555.7700005</v>
      </c>
      <c r="AH42" s="43">
        <v>2870890065.04</v>
      </c>
      <c r="AI42" s="43">
        <v>23980863</v>
      </c>
      <c r="AJ42" s="43">
        <v>0</v>
      </c>
      <c r="AK42" s="43">
        <v>2718840627.7300005</v>
      </c>
      <c r="AL42" s="43">
        <v>0</v>
      </c>
      <c r="AM42" s="43">
        <v>0</v>
      </c>
      <c r="AN42" s="43">
        <v>61498430.940000013</v>
      </c>
      <c r="AO42" s="43">
        <v>54499476.050000012</v>
      </c>
      <c r="AP42" s="43">
        <v>6998954.8900000006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7933774.6200000048</v>
      </c>
      <c r="AW42" s="43">
        <v>0</v>
      </c>
      <c r="AX42" s="43">
        <v>0</v>
      </c>
      <c r="AY42" s="43">
        <v>7933774.6200000048</v>
      </c>
      <c r="AZ42" s="43">
        <v>24747105.349999994</v>
      </c>
      <c r="BA42" s="43">
        <v>24747105.349999994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15672877.390000001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0</v>
      </c>
      <c r="BO42" s="43">
        <v>0</v>
      </c>
      <c r="BP42" s="43">
        <v>0</v>
      </c>
      <c r="BQ42" s="43">
        <v>0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9644878.1400000006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9644878.1400000006</v>
      </c>
      <c r="CQ42" s="43">
        <v>0</v>
      </c>
      <c r="CR42" s="43">
        <v>0</v>
      </c>
      <c r="CS42" s="43">
        <v>0</v>
      </c>
      <c r="CT42" s="43">
        <v>0</v>
      </c>
      <c r="CU42" s="43">
        <v>6027999.25</v>
      </c>
      <c r="CV42" s="43">
        <v>6027999.25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2274300936.7000003</v>
      </c>
      <c r="DF42" s="43">
        <v>2360735000</v>
      </c>
      <c r="DG42" s="43">
        <v>2360735000</v>
      </c>
      <c r="DH42" s="43">
        <v>0</v>
      </c>
      <c r="DI42" s="43">
        <v>0</v>
      </c>
      <c r="DJ42" s="43">
        <v>0</v>
      </c>
      <c r="DK42" s="43">
        <v>0</v>
      </c>
      <c r="DL42" s="43">
        <v>0</v>
      </c>
      <c r="DM42" s="43">
        <v>0</v>
      </c>
      <c r="DN42" s="43">
        <v>0</v>
      </c>
      <c r="DO42" s="43">
        <v>0</v>
      </c>
      <c r="DP42" s="43">
        <v>0</v>
      </c>
      <c r="DQ42" s="43">
        <v>0</v>
      </c>
      <c r="DR42" s="43">
        <v>9.9999979138374329E-3</v>
      </c>
      <c r="DS42" s="43">
        <v>0</v>
      </c>
      <c r="DT42" s="43">
        <v>0</v>
      </c>
      <c r="DU42" s="43">
        <v>0</v>
      </c>
      <c r="DV42" s="43">
        <v>0</v>
      </c>
      <c r="DW42" s="43">
        <v>9.9999979138374329E-3</v>
      </c>
      <c r="DX42" s="43">
        <v>0</v>
      </c>
      <c r="DY42" s="43">
        <v>290897926.10000002</v>
      </c>
      <c r="DZ42" s="43">
        <v>290897926.10000002</v>
      </c>
      <c r="EA42" s="43">
        <v>-435149580.98000002</v>
      </c>
      <c r="EB42" s="43">
        <v>-435149580.98000002</v>
      </c>
      <c r="EC42" s="43">
        <v>57817591.57</v>
      </c>
      <c r="ED42" s="43">
        <v>57817591.57</v>
      </c>
      <c r="EE42" s="43">
        <v>0</v>
      </c>
      <c r="EF42" s="43">
        <v>0</v>
      </c>
      <c r="EG42" s="51"/>
      <c r="EH42" s="51"/>
      <c r="EI42" s="51"/>
    </row>
    <row r="43" spans="1:139" ht="12.75" customHeight="1">
      <c r="A43" s="40" t="s">
        <v>118</v>
      </c>
      <c r="B43" s="41">
        <v>1051</v>
      </c>
      <c r="C43" s="42" t="s">
        <v>415</v>
      </c>
      <c r="D43" s="43">
        <v>365647034.12</v>
      </c>
      <c r="E43" s="43">
        <v>6928433.959999999</v>
      </c>
      <c r="F43" s="43">
        <v>4760754.3099999996</v>
      </c>
      <c r="G43" s="43">
        <v>2167679.65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48926437.290000007</v>
      </c>
      <c r="O43" s="43">
        <v>48966197.550000004</v>
      </c>
      <c r="P43" s="43">
        <v>0</v>
      </c>
      <c r="Q43" s="43">
        <v>0</v>
      </c>
      <c r="R43" s="43">
        <v>0</v>
      </c>
      <c r="S43" s="43">
        <v>-39760.26</v>
      </c>
      <c r="T43" s="43">
        <v>0</v>
      </c>
      <c r="U43" s="43">
        <v>33946541.07</v>
      </c>
      <c r="V43" s="43">
        <v>4844745.8099999996</v>
      </c>
      <c r="W43" s="43">
        <v>0</v>
      </c>
      <c r="X43" s="43">
        <v>0</v>
      </c>
      <c r="Y43" s="43">
        <v>0</v>
      </c>
      <c r="Z43" s="43">
        <v>29101795.260000002</v>
      </c>
      <c r="AA43" s="43">
        <v>0</v>
      </c>
      <c r="AB43" s="43">
        <v>35633864.119999997</v>
      </c>
      <c r="AC43" s="43">
        <v>32622214.899999999</v>
      </c>
      <c r="AD43" s="43">
        <v>460846.55</v>
      </c>
      <c r="AE43" s="43">
        <v>2550802.67</v>
      </c>
      <c r="AF43" s="43">
        <v>0</v>
      </c>
      <c r="AG43" s="43">
        <v>236056087.32999995</v>
      </c>
      <c r="AH43" s="43">
        <v>22338845.219999999</v>
      </c>
      <c r="AI43" s="43">
        <v>0</v>
      </c>
      <c r="AJ43" s="43">
        <v>0</v>
      </c>
      <c r="AK43" s="43">
        <v>213717242.10999995</v>
      </c>
      <c r="AL43" s="43">
        <v>0</v>
      </c>
      <c r="AM43" s="43">
        <v>0</v>
      </c>
      <c r="AN43" s="43">
        <v>2206537.39</v>
      </c>
      <c r="AO43" s="43">
        <v>1161857.72</v>
      </c>
      <c r="AP43" s="43">
        <v>1044679.67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1133825.6000000001</v>
      </c>
      <c r="AW43" s="43">
        <v>1133825.6000000001</v>
      </c>
      <c r="AX43" s="43">
        <v>0</v>
      </c>
      <c r="AY43" s="43">
        <v>0</v>
      </c>
      <c r="AZ43" s="43">
        <v>815307.36</v>
      </c>
      <c r="BA43" s="43">
        <v>507331.86</v>
      </c>
      <c r="BB43" s="43">
        <v>307975.5</v>
      </c>
      <c r="BC43" s="43">
        <v>0</v>
      </c>
      <c r="BD43" s="43">
        <v>0</v>
      </c>
      <c r="BE43" s="43">
        <v>0</v>
      </c>
      <c r="BF43" s="43">
        <v>0</v>
      </c>
      <c r="BG43" s="43">
        <v>0</v>
      </c>
      <c r="BH43" s="43">
        <v>42920061.120000005</v>
      </c>
      <c r="BI43" s="43">
        <v>2267465.41</v>
      </c>
      <c r="BJ43" s="43">
        <v>0</v>
      </c>
      <c r="BK43" s="43">
        <v>2267465.41</v>
      </c>
      <c r="BL43" s="43">
        <v>0</v>
      </c>
      <c r="BM43" s="43">
        <v>0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40640951.490000002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40640951.490000002</v>
      </c>
      <c r="CQ43" s="43">
        <v>0</v>
      </c>
      <c r="CR43" s="43">
        <v>0</v>
      </c>
      <c r="CS43" s="43">
        <v>0</v>
      </c>
      <c r="CT43" s="43">
        <v>0</v>
      </c>
      <c r="CU43" s="43">
        <v>11644.22</v>
      </c>
      <c r="CV43" s="43">
        <v>11644.22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499895058.37999994</v>
      </c>
      <c r="DF43" s="43">
        <v>338000000</v>
      </c>
      <c r="DG43" s="43">
        <v>338000000</v>
      </c>
      <c r="DH43" s="43">
        <v>0</v>
      </c>
      <c r="DI43" s="43">
        <v>0</v>
      </c>
      <c r="DJ43" s="43">
        <v>0</v>
      </c>
      <c r="DK43" s="43">
        <v>0</v>
      </c>
      <c r="DL43" s="43">
        <v>0</v>
      </c>
      <c r="DM43" s="43">
        <v>0</v>
      </c>
      <c r="DN43" s="43">
        <v>0</v>
      </c>
      <c r="DO43" s="43">
        <v>0</v>
      </c>
      <c r="DP43" s="43">
        <v>0</v>
      </c>
      <c r="DQ43" s="43">
        <v>0</v>
      </c>
      <c r="DR43" s="43">
        <v>8580719.5999999996</v>
      </c>
      <c r="DS43" s="43">
        <v>11408081.52</v>
      </c>
      <c r="DT43" s="43">
        <v>0</v>
      </c>
      <c r="DU43" s="43">
        <v>0</v>
      </c>
      <c r="DV43" s="43">
        <v>0</v>
      </c>
      <c r="DW43" s="43">
        <v>0</v>
      </c>
      <c r="DX43" s="43">
        <v>-2827361.92</v>
      </c>
      <c r="DY43" s="43">
        <v>241572402.72999999</v>
      </c>
      <c r="DZ43" s="43">
        <v>241572402.72999999</v>
      </c>
      <c r="EA43" s="43">
        <v>0</v>
      </c>
      <c r="EB43" s="43">
        <v>0</v>
      </c>
      <c r="EC43" s="43">
        <v>-88258063.950000107</v>
      </c>
      <c r="ED43" s="43">
        <v>0</v>
      </c>
      <c r="EE43" s="43">
        <v>-88258063.950000107</v>
      </c>
      <c r="EF43" s="43">
        <v>0</v>
      </c>
      <c r="EG43" s="51"/>
      <c r="EH43" s="51"/>
      <c r="EI43" s="51"/>
    </row>
    <row r="44" spans="1:139" ht="12.75" customHeight="1">
      <c r="A44" s="40" t="s">
        <v>121</v>
      </c>
      <c r="B44" s="41">
        <v>1052</v>
      </c>
      <c r="C44" s="42" t="s">
        <v>415</v>
      </c>
      <c r="D44" s="43">
        <v>238119135.39999998</v>
      </c>
      <c r="E44" s="43">
        <v>10119891.859999999</v>
      </c>
      <c r="F44" s="43">
        <v>0</v>
      </c>
      <c r="G44" s="43">
        <v>10119891.859999999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58342337.840000004</v>
      </c>
      <c r="O44" s="43">
        <v>57331356.960000001</v>
      </c>
      <c r="P44" s="43">
        <v>0</v>
      </c>
      <c r="Q44" s="43">
        <v>0</v>
      </c>
      <c r="R44" s="43">
        <v>0</v>
      </c>
      <c r="S44" s="43">
        <v>1010980.88</v>
      </c>
      <c r="T44" s="43">
        <v>0</v>
      </c>
      <c r="U44" s="43">
        <v>103009.53</v>
      </c>
      <c r="V44" s="43">
        <v>0.38</v>
      </c>
      <c r="W44" s="43">
        <v>0</v>
      </c>
      <c r="X44" s="43">
        <v>0</v>
      </c>
      <c r="Y44" s="43">
        <v>0</v>
      </c>
      <c r="Z44" s="43">
        <v>103009.15</v>
      </c>
      <c r="AA44" s="43">
        <v>0</v>
      </c>
      <c r="AB44" s="43">
        <v>7904394.0199999996</v>
      </c>
      <c r="AC44" s="43">
        <v>6234124.2699999996</v>
      </c>
      <c r="AD44" s="43">
        <v>0</v>
      </c>
      <c r="AE44" s="43">
        <v>1670269.75</v>
      </c>
      <c r="AF44" s="43">
        <v>0</v>
      </c>
      <c r="AG44" s="43">
        <v>105463862.26000001</v>
      </c>
      <c r="AH44" s="43">
        <v>38925850.329999998</v>
      </c>
      <c r="AI44" s="43">
        <v>11347865</v>
      </c>
      <c r="AJ44" s="43">
        <v>0</v>
      </c>
      <c r="AK44" s="43">
        <v>55190146.930000007</v>
      </c>
      <c r="AL44" s="43">
        <v>0</v>
      </c>
      <c r="AM44" s="43">
        <v>0</v>
      </c>
      <c r="AN44" s="43">
        <v>52998815.350000001</v>
      </c>
      <c r="AO44" s="43">
        <v>50925591.390000001</v>
      </c>
      <c r="AP44" s="43">
        <v>2073223.96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1999788</v>
      </c>
      <c r="AW44" s="43">
        <v>0</v>
      </c>
      <c r="AX44" s="43">
        <v>0</v>
      </c>
      <c r="AY44" s="43">
        <v>1999788</v>
      </c>
      <c r="AZ44" s="43">
        <v>1187036.54</v>
      </c>
      <c r="BA44" s="43">
        <v>1187036.54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0</v>
      </c>
      <c r="BH44" s="43">
        <v>12472428.030000001</v>
      </c>
      <c r="BI44" s="43">
        <v>6975807.0300000003</v>
      </c>
      <c r="BJ44" s="43">
        <v>0</v>
      </c>
      <c r="BK44" s="43">
        <v>6975807.0300000003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1911182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1911182</v>
      </c>
      <c r="CQ44" s="43">
        <v>0</v>
      </c>
      <c r="CR44" s="43">
        <v>0</v>
      </c>
      <c r="CS44" s="43">
        <v>0</v>
      </c>
      <c r="CT44" s="43">
        <v>0</v>
      </c>
      <c r="CU44" s="43">
        <v>3585439</v>
      </c>
      <c r="CV44" s="43">
        <v>3585439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1343506547.6999998</v>
      </c>
      <c r="DF44" s="43">
        <v>1377499348</v>
      </c>
      <c r="DG44" s="43">
        <v>1377499348</v>
      </c>
      <c r="DH44" s="43">
        <v>0</v>
      </c>
      <c r="DI44" s="43">
        <v>0</v>
      </c>
      <c r="DJ44" s="43">
        <v>0</v>
      </c>
      <c r="DK44" s="43">
        <v>0</v>
      </c>
      <c r="DL44" s="43">
        <v>0</v>
      </c>
      <c r="DM44" s="43">
        <v>0</v>
      </c>
      <c r="DN44" s="43">
        <v>0</v>
      </c>
      <c r="DO44" s="43">
        <v>0</v>
      </c>
      <c r="DP44" s="43">
        <v>0</v>
      </c>
      <c r="DQ44" s="43">
        <v>0</v>
      </c>
      <c r="DR44" s="43">
        <v>1559646.35</v>
      </c>
      <c r="DS44" s="43">
        <v>1368003.59</v>
      </c>
      <c r="DT44" s="43">
        <v>0</v>
      </c>
      <c r="DU44" s="43">
        <v>0</v>
      </c>
      <c r="DV44" s="43">
        <v>0</v>
      </c>
      <c r="DW44" s="43">
        <v>0</v>
      </c>
      <c r="DX44" s="43">
        <v>191642.76</v>
      </c>
      <c r="DY44" s="43">
        <v>2673281.52</v>
      </c>
      <c r="DZ44" s="43">
        <v>2673281.52</v>
      </c>
      <c r="EA44" s="43">
        <v>-117260449.73</v>
      </c>
      <c r="EB44" s="43">
        <v>-117260449.73</v>
      </c>
      <c r="EC44" s="43">
        <v>79034721.559999973</v>
      </c>
      <c r="ED44" s="43">
        <v>79034721.559999973</v>
      </c>
      <c r="EE44" s="43">
        <v>0</v>
      </c>
      <c r="EF44" s="43">
        <v>0</v>
      </c>
      <c r="EG44" s="51"/>
      <c r="EH44" s="51"/>
      <c r="EI44" s="51"/>
    </row>
    <row r="45" spans="1:139" ht="12.75" customHeight="1">
      <c r="A45" s="40" t="s">
        <v>124</v>
      </c>
      <c r="B45" s="41">
        <v>1053</v>
      </c>
      <c r="C45" s="42" t="s">
        <v>415</v>
      </c>
      <c r="D45" s="43">
        <v>32359318656.41</v>
      </c>
      <c r="E45" s="43">
        <v>29774493.419999998</v>
      </c>
      <c r="F45" s="43">
        <v>0</v>
      </c>
      <c r="G45" s="43">
        <v>52072959.079999998</v>
      </c>
      <c r="H45" s="43">
        <v>-22298465.66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673328896.99000001</v>
      </c>
      <c r="O45" s="43">
        <v>681808008.03999996</v>
      </c>
      <c r="P45" s="43">
        <v>0</v>
      </c>
      <c r="Q45" s="43">
        <v>0</v>
      </c>
      <c r="R45" s="43">
        <v>0</v>
      </c>
      <c r="S45" s="43">
        <v>-8479111.0500000007</v>
      </c>
      <c r="T45" s="43">
        <v>0</v>
      </c>
      <c r="U45" s="43">
        <v>630463.47</v>
      </c>
      <c r="V45" s="43">
        <v>0</v>
      </c>
      <c r="W45" s="43">
        <v>0</v>
      </c>
      <c r="X45" s="43">
        <v>0</v>
      </c>
      <c r="Y45" s="43">
        <v>0</v>
      </c>
      <c r="Z45" s="43">
        <v>630463.47</v>
      </c>
      <c r="AA45" s="43">
        <v>0</v>
      </c>
      <c r="AB45" s="43">
        <v>579014413.06999993</v>
      </c>
      <c r="AC45" s="43">
        <v>1046737.02</v>
      </c>
      <c r="AD45" s="43">
        <v>569338428.52999997</v>
      </c>
      <c r="AE45" s="43">
        <v>8629247.5199999996</v>
      </c>
      <c r="AF45" s="43">
        <v>0</v>
      </c>
      <c r="AG45" s="43">
        <v>29704992864.889999</v>
      </c>
      <c r="AH45" s="43">
        <v>14418064101.15</v>
      </c>
      <c r="AI45" s="43">
        <v>0</v>
      </c>
      <c r="AJ45" s="43">
        <v>0</v>
      </c>
      <c r="AK45" s="43">
        <v>15286928763.74</v>
      </c>
      <c r="AL45" s="43">
        <v>0</v>
      </c>
      <c r="AM45" s="43">
        <v>0</v>
      </c>
      <c r="AN45" s="43">
        <v>1100975399.0899999</v>
      </c>
      <c r="AO45" s="43">
        <v>426956261.31999999</v>
      </c>
      <c r="AP45" s="43">
        <v>14241635.4</v>
      </c>
      <c r="AQ45" s="43">
        <v>0</v>
      </c>
      <c r="AR45" s="43">
        <v>0</v>
      </c>
      <c r="AS45" s="43">
        <v>1176468172.8299999</v>
      </c>
      <c r="AT45" s="43">
        <v>-516690670.45999998</v>
      </c>
      <c r="AU45" s="43">
        <v>0</v>
      </c>
      <c r="AV45" s="43">
        <v>112933943.93000001</v>
      </c>
      <c r="AW45" s="43">
        <v>0</v>
      </c>
      <c r="AX45" s="43">
        <v>0</v>
      </c>
      <c r="AY45" s="43">
        <v>112933943.93000001</v>
      </c>
      <c r="AZ45" s="43">
        <v>157668181.55000001</v>
      </c>
      <c r="BA45" s="43">
        <v>157668181.55000001</v>
      </c>
      <c r="BB45" s="43">
        <v>0</v>
      </c>
      <c r="BC45" s="43">
        <v>0</v>
      </c>
      <c r="BD45" s="43">
        <v>0</v>
      </c>
      <c r="BE45" s="43">
        <v>0</v>
      </c>
      <c r="BF45" s="43">
        <v>0</v>
      </c>
      <c r="BG45" s="43">
        <v>0</v>
      </c>
      <c r="BH45" s="43">
        <v>858724099.29999995</v>
      </c>
      <c r="BI45" s="43">
        <v>53223017.729999997</v>
      </c>
      <c r="BJ45" s="43">
        <v>0</v>
      </c>
      <c r="BK45" s="43">
        <v>66795259.479999997</v>
      </c>
      <c r="BL45" s="43">
        <v>-13572241.75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93127617.060000002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93127617.060000002</v>
      </c>
      <c r="CQ45" s="43">
        <v>0</v>
      </c>
      <c r="CR45" s="43">
        <v>0</v>
      </c>
      <c r="CS45" s="43">
        <v>0</v>
      </c>
      <c r="CT45" s="43">
        <v>0</v>
      </c>
      <c r="CU45" s="43">
        <v>12477505.5</v>
      </c>
      <c r="CV45" s="43">
        <v>12477505.5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699895959.00999999</v>
      </c>
      <c r="DC45" s="43">
        <v>699895959.00999999</v>
      </c>
      <c r="DD45" s="43">
        <v>0</v>
      </c>
      <c r="DE45" s="43">
        <v>12204752362.849998</v>
      </c>
      <c r="DF45" s="43">
        <v>786791768</v>
      </c>
      <c r="DG45" s="43">
        <v>805140000</v>
      </c>
      <c r="DH45" s="43">
        <v>-18348232</v>
      </c>
      <c r="DI45" s="43">
        <v>0</v>
      </c>
      <c r="DJ45" s="43">
        <v>0</v>
      </c>
      <c r="DK45" s="43">
        <v>0</v>
      </c>
      <c r="DL45" s="43">
        <v>0</v>
      </c>
      <c r="DM45" s="43">
        <v>0</v>
      </c>
      <c r="DN45" s="43">
        <v>0</v>
      </c>
      <c r="DO45" s="43">
        <v>0</v>
      </c>
      <c r="DP45" s="43">
        <v>0</v>
      </c>
      <c r="DQ45" s="43">
        <v>0</v>
      </c>
      <c r="DR45" s="43">
        <v>1235410879.1100001</v>
      </c>
      <c r="DS45" s="43">
        <v>327053968.91000003</v>
      </c>
      <c r="DT45" s="43">
        <v>0</v>
      </c>
      <c r="DU45" s="43">
        <v>0</v>
      </c>
      <c r="DV45" s="43">
        <v>857589678.48000002</v>
      </c>
      <c r="DW45" s="43">
        <v>51273629.469999999</v>
      </c>
      <c r="DX45" s="43">
        <v>-506397.75</v>
      </c>
      <c r="DY45" s="43">
        <v>5930953599.9499998</v>
      </c>
      <c r="DZ45" s="43">
        <v>5930953599.9499998</v>
      </c>
      <c r="EA45" s="43">
        <v>0</v>
      </c>
      <c r="EB45" s="43">
        <v>0</v>
      </c>
      <c r="EC45" s="43">
        <v>4251596115.7899995</v>
      </c>
      <c r="ED45" s="43">
        <v>4251596115.7899995</v>
      </c>
      <c r="EE45" s="43">
        <v>0</v>
      </c>
      <c r="EF45" s="43">
        <v>0</v>
      </c>
      <c r="EG45" s="51"/>
      <c r="EH45" s="51"/>
      <c r="EI45" s="51"/>
    </row>
    <row r="46" spans="1:139" ht="12.75" customHeight="1">
      <c r="A46" s="40" t="s">
        <v>127</v>
      </c>
      <c r="B46" s="41">
        <v>1054</v>
      </c>
      <c r="C46" s="42" t="s">
        <v>415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43">
        <v>0</v>
      </c>
      <c r="DK46" s="43">
        <v>0</v>
      </c>
      <c r="DL46" s="43">
        <v>0</v>
      </c>
      <c r="DM46" s="43">
        <v>0</v>
      </c>
      <c r="DN46" s="43">
        <v>0</v>
      </c>
      <c r="DO46" s="43">
        <v>0</v>
      </c>
      <c r="DP46" s="43">
        <v>0</v>
      </c>
      <c r="DQ46" s="43">
        <v>0</v>
      </c>
      <c r="DR46" s="43">
        <v>0</v>
      </c>
      <c r="DS46" s="43">
        <v>0</v>
      </c>
      <c r="DT46" s="43">
        <v>0</v>
      </c>
      <c r="DU46" s="43">
        <v>0</v>
      </c>
      <c r="DV46" s="43">
        <v>0</v>
      </c>
      <c r="DW46" s="43">
        <v>0</v>
      </c>
      <c r="DX46" s="43">
        <v>0</v>
      </c>
      <c r="DY46" s="43">
        <v>0</v>
      </c>
      <c r="DZ46" s="43">
        <v>0</v>
      </c>
      <c r="EA46" s="43">
        <v>0</v>
      </c>
      <c r="EB46" s="43">
        <v>0</v>
      </c>
      <c r="EC46" s="43">
        <v>0</v>
      </c>
      <c r="ED46" s="43">
        <v>0</v>
      </c>
      <c r="EE46" s="43">
        <v>0</v>
      </c>
      <c r="EF46" s="43">
        <v>0</v>
      </c>
      <c r="EG46" s="51"/>
      <c r="EH46" s="51"/>
      <c r="EI46" s="51"/>
    </row>
    <row r="47" spans="1:139" ht="12.75" customHeight="1">
      <c r="A47" s="40" t="s">
        <v>130</v>
      </c>
      <c r="B47" s="41">
        <v>1055</v>
      </c>
      <c r="C47" s="42" t="s">
        <v>415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3">
        <v>0</v>
      </c>
      <c r="AX47" s="43">
        <v>0</v>
      </c>
      <c r="AY47" s="43">
        <v>0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0</v>
      </c>
      <c r="BR47" s="43">
        <v>0</v>
      </c>
      <c r="BS47" s="43">
        <v>0</v>
      </c>
      <c r="BT47" s="43">
        <v>0</v>
      </c>
      <c r="BU47" s="43">
        <v>0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  <c r="CK47" s="43">
        <v>0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0</v>
      </c>
      <c r="DC47" s="43">
        <v>0</v>
      </c>
      <c r="DD47" s="43">
        <v>0</v>
      </c>
      <c r="DE47" s="43">
        <v>0</v>
      </c>
      <c r="DF47" s="43">
        <v>0</v>
      </c>
      <c r="DG47" s="43">
        <v>0</v>
      </c>
      <c r="DH47" s="43">
        <v>0</v>
      </c>
      <c r="DI47" s="43">
        <v>0</v>
      </c>
      <c r="DJ47" s="43">
        <v>0</v>
      </c>
      <c r="DK47" s="43">
        <v>0</v>
      </c>
      <c r="DL47" s="43">
        <v>0</v>
      </c>
      <c r="DM47" s="43">
        <v>0</v>
      </c>
      <c r="DN47" s="43">
        <v>0</v>
      </c>
      <c r="DO47" s="43">
        <v>0</v>
      </c>
      <c r="DP47" s="43">
        <v>0</v>
      </c>
      <c r="DQ47" s="43">
        <v>0</v>
      </c>
      <c r="DR47" s="43">
        <v>0</v>
      </c>
      <c r="DS47" s="43">
        <v>0</v>
      </c>
      <c r="DT47" s="43">
        <v>0</v>
      </c>
      <c r="DU47" s="43">
        <v>0</v>
      </c>
      <c r="DV47" s="43">
        <v>0</v>
      </c>
      <c r="DW47" s="43">
        <v>0</v>
      </c>
      <c r="DX47" s="43">
        <v>0</v>
      </c>
      <c r="DY47" s="43">
        <v>0</v>
      </c>
      <c r="DZ47" s="43">
        <v>0</v>
      </c>
      <c r="EA47" s="43">
        <v>0</v>
      </c>
      <c r="EB47" s="43">
        <v>0</v>
      </c>
      <c r="EC47" s="43">
        <v>0</v>
      </c>
      <c r="ED47" s="43">
        <v>0</v>
      </c>
      <c r="EE47" s="43">
        <v>0</v>
      </c>
      <c r="EF47" s="43">
        <v>0</v>
      </c>
      <c r="EG47" s="51"/>
      <c r="EH47" s="51"/>
      <c r="EI47" s="51"/>
    </row>
    <row r="48" spans="1:139" ht="12.75" customHeight="1">
      <c r="A48" s="40" t="s">
        <v>133</v>
      </c>
      <c r="B48" s="41">
        <v>1056</v>
      </c>
      <c r="C48" s="42" t="s">
        <v>415</v>
      </c>
      <c r="D48" s="43">
        <v>6704751955.3099995</v>
      </c>
      <c r="E48" s="43">
        <v>3719096.4</v>
      </c>
      <c r="F48" s="43">
        <v>0</v>
      </c>
      <c r="G48" s="43">
        <v>3719096.4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89353673.109999999</v>
      </c>
      <c r="O48" s="43">
        <v>88009055.769999996</v>
      </c>
      <c r="P48" s="43">
        <v>0</v>
      </c>
      <c r="Q48" s="43">
        <v>0</v>
      </c>
      <c r="R48" s="43">
        <v>0</v>
      </c>
      <c r="S48" s="43">
        <v>1344617.34</v>
      </c>
      <c r="T48" s="43">
        <v>0</v>
      </c>
      <c r="U48" s="43">
        <v>8998702.8800000008</v>
      </c>
      <c r="V48" s="43">
        <v>0</v>
      </c>
      <c r="W48" s="43">
        <v>0</v>
      </c>
      <c r="X48" s="43">
        <v>0</v>
      </c>
      <c r="Y48" s="43">
        <v>0</v>
      </c>
      <c r="Z48" s="43">
        <v>8998702.8800000008</v>
      </c>
      <c r="AA48" s="43">
        <v>0</v>
      </c>
      <c r="AB48" s="43">
        <v>190146841.5</v>
      </c>
      <c r="AC48" s="43">
        <v>0</v>
      </c>
      <c r="AD48" s="43">
        <v>167519761.46000001</v>
      </c>
      <c r="AE48" s="43">
        <v>22627080.039999999</v>
      </c>
      <c r="AF48" s="43">
        <v>0</v>
      </c>
      <c r="AG48" s="43">
        <v>6142007383.5</v>
      </c>
      <c r="AH48" s="43">
        <v>2346288984.0900002</v>
      </c>
      <c r="AI48" s="43">
        <v>454766357.19999999</v>
      </c>
      <c r="AJ48" s="43">
        <v>0</v>
      </c>
      <c r="AK48" s="43">
        <v>3340952042.2099996</v>
      </c>
      <c r="AL48" s="43">
        <v>0</v>
      </c>
      <c r="AM48" s="43">
        <v>0</v>
      </c>
      <c r="AN48" s="43">
        <v>262942507.51999998</v>
      </c>
      <c r="AO48" s="43">
        <v>258286263.47</v>
      </c>
      <c r="AP48" s="43">
        <v>4295933.5999999996</v>
      </c>
      <c r="AQ48" s="43">
        <v>0</v>
      </c>
      <c r="AR48" s="43">
        <v>0</v>
      </c>
      <c r="AS48" s="43">
        <v>360310.45</v>
      </c>
      <c r="AT48" s="43">
        <v>0</v>
      </c>
      <c r="AU48" s="43">
        <v>0</v>
      </c>
      <c r="AV48" s="43">
        <v>4280693.09</v>
      </c>
      <c r="AW48" s="43">
        <v>0</v>
      </c>
      <c r="AX48" s="43">
        <v>0</v>
      </c>
      <c r="AY48" s="43">
        <v>4280693.09</v>
      </c>
      <c r="AZ48" s="43">
        <v>2342267.91</v>
      </c>
      <c r="BA48" s="43">
        <v>2198773</v>
      </c>
      <c r="BB48" s="43">
        <v>0</v>
      </c>
      <c r="BC48" s="43">
        <v>143494.91</v>
      </c>
      <c r="BD48" s="43">
        <v>960789.4</v>
      </c>
      <c r="BE48" s="43">
        <v>0</v>
      </c>
      <c r="BF48" s="43">
        <v>0</v>
      </c>
      <c r="BG48" s="43">
        <v>960789.4</v>
      </c>
      <c r="BH48" s="43">
        <v>40773471.099999994</v>
      </c>
      <c r="BI48" s="43">
        <v>2704176.61</v>
      </c>
      <c r="BJ48" s="43">
        <v>0</v>
      </c>
      <c r="BK48" s="43">
        <v>2704176.61</v>
      </c>
      <c r="BL48" s="43">
        <v>0</v>
      </c>
      <c r="BM48" s="43">
        <v>0</v>
      </c>
      <c r="BN48" s="43">
        <v>0</v>
      </c>
      <c r="BO48" s="43">
        <v>0</v>
      </c>
      <c r="BP48" s="43">
        <v>0</v>
      </c>
      <c r="BQ48" s="43">
        <v>0</v>
      </c>
      <c r="BR48" s="43">
        <v>0</v>
      </c>
      <c r="BS48" s="43">
        <v>0</v>
      </c>
      <c r="BT48" s="43">
        <v>0</v>
      </c>
      <c r="BU48" s="43">
        <v>0</v>
      </c>
      <c r="BV48" s="43">
        <v>0</v>
      </c>
      <c r="BW48" s="43">
        <v>0</v>
      </c>
      <c r="BX48" s="43">
        <v>0</v>
      </c>
      <c r="BY48" s="43">
        <v>0</v>
      </c>
      <c r="BZ48" s="43">
        <v>0</v>
      </c>
      <c r="CA48" s="43">
        <v>0</v>
      </c>
      <c r="CB48" s="43">
        <v>0</v>
      </c>
      <c r="CC48" s="43">
        <v>0</v>
      </c>
      <c r="CD48" s="43">
        <v>0</v>
      </c>
      <c r="CE48" s="43">
        <v>31129891.219999999</v>
      </c>
      <c r="CF48" s="43">
        <v>31129891.219999999</v>
      </c>
      <c r="CG48" s="43">
        <v>0</v>
      </c>
      <c r="CH48" s="43">
        <v>0</v>
      </c>
      <c r="CI48" s="43">
        <v>0</v>
      </c>
      <c r="CJ48" s="43">
        <v>4307125.55</v>
      </c>
      <c r="CK48" s="43">
        <v>0</v>
      </c>
      <c r="CL48" s="43">
        <v>0</v>
      </c>
      <c r="CM48" s="43">
        <v>3931009</v>
      </c>
      <c r="CN48" s="43">
        <v>0</v>
      </c>
      <c r="CO48" s="43">
        <v>0</v>
      </c>
      <c r="CP48" s="43">
        <v>376116.55000000005</v>
      </c>
      <c r="CQ48" s="43">
        <v>0</v>
      </c>
      <c r="CR48" s="43">
        <v>0</v>
      </c>
      <c r="CS48" s="43">
        <v>0</v>
      </c>
      <c r="CT48" s="43">
        <v>0</v>
      </c>
      <c r="CU48" s="43">
        <v>2602964</v>
      </c>
      <c r="CV48" s="43">
        <v>2602964</v>
      </c>
      <c r="CW48" s="43">
        <v>0</v>
      </c>
      <c r="CX48" s="43">
        <v>29313.72</v>
      </c>
      <c r="CY48" s="43">
        <v>0</v>
      </c>
      <c r="CZ48" s="43">
        <v>0</v>
      </c>
      <c r="DA48" s="43">
        <v>29313.72</v>
      </c>
      <c r="DB48" s="43">
        <v>0</v>
      </c>
      <c r="DC48" s="43">
        <v>0</v>
      </c>
      <c r="DD48" s="43">
        <v>0</v>
      </c>
      <c r="DE48" s="43">
        <v>3947530712.1300001</v>
      </c>
      <c r="DF48" s="43">
        <v>1500000000</v>
      </c>
      <c r="DG48" s="43">
        <v>1500000000</v>
      </c>
      <c r="DH48" s="43">
        <v>0</v>
      </c>
      <c r="DI48" s="43">
        <v>0</v>
      </c>
      <c r="DJ48" s="43">
        <v>0</v>
      </c>
      <c r="DK48" s="43">
        <v>0</v>
      </c>
      <c r="DL48" s="43">
        <v>1300673682.3</v>
      </c>
      <c r="DM48" s="43">
        <v>0</v>
      </c>
      <c r="DN48" s="43">
        <v>0</v>
      </c>
      <c r="DO48" s="43">
        <v>0</v>
      </c>
      <c r="DP48" s="43">
        <v>0</v>
      </c>
      <c r="DQ48" s="43">
        <v>1300673682.3</v>
      </c>
      <c r="DR48" s="43">
        <v>25453765.190000001</v>
      </c>
      <c r="DS48" s="43">
        <v>24454390.41</v>
      </c>
      <c r="DT48" s="43">
        <v>0</v>
      </c>
      <c r="DU48" s="43">
        <v>0</v>
      </c>
      <c r="DV48" s="43">
        <v>0</v>
      </c>
      <c r="DW48" s="43">
        <v>0</v>
      </c>
      <c r="DX48" s="43">
        <v>999374.78</v>
      </c>
      <c r="DY48" s="43">
        <v>607834206.63999999</v>
      </c>
      <c r="DZ48" s="43">
        <v>607834206.63999999</v>
      </c>
      <c r="EA48" s="43">
        <v>0</v>
      </c>
      <c r="EB48" s="43">
        <v>0</v>
      </c>
      <c r="EC48" s="43">
        <v>513569058</v>
      </c>
      <c r="ED48" s="43">
        <v>513569058</v>
      </c>
      <c r="EE48" s="43">
        <v>0</v>
      </c>
      <c r="EF48" s="43">
        <v>0</v>
      </c>
      <c r="EG48" s="51"/>
      <c r="EH48" s="51"/>
      <c r="EI48" s="51"/>
    </row>
    <row r="49" spans="1:139" ht="12.75" customHeight="1">
      <c r="A49" s="40" t="s">
        <v>136</v>
      </c>
      <c r="B49" s="41">
        <v>1057</v>
      </c>
      <c r="C49" s="42" t="s">
        <v>415</v>
      </c>
      <c r="D49" s="43">
        <v>2601267393.3699999</v>
      </c>
      <c r="E49" s="43">
        <v>208682.58000000007</v>
      </c>
      <c r="F49" s="43">
        <v>0</v>
      </c>
      <c r="G49" s="43">
        <v>911351.52</v>
      </c>
      <c r="H49" s="43">
        <v>-702668.94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1511368150.77</v>
      </c>
      <c r="O49" s="43">
        <v>1506912445.1700001</v>
      </c>
      <c r="P49" s="43">
        <v>0</v>
      </c>
      <c r="Q49" s="43">
        <v>0</v>
      </c>
      <c r="R49" s="43">
        <v>0</v>
      </c>
      <c r="S49" s="43">
        <v>4455705.5999999996</v>
      </c>
      <c r="T49" s="43">
        <v>0</v>
      </c>
      <c r="U49" s="43">
        <v>11027697.82</v>
      </c>
      <c r="V49" s="43">
        <v>11027697.82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23787767.34</v>
      </c>
      <c r="AC49" s="43">
        <v>201236.68</v>
      </c>
      <c r="AD49" s="43">
        <v>-454.13</v>
      </c>
      <c r="AE49" s="43">
        <v>23586984.789999999</v>
      </c>
      <c r="AF49" s="43">
        <v>0</v>
      </c>
      <c r="AG49" s="43">
        <v>878711835.19000006</v>
      </c>
      <c r="AH49" s="43">
        <v>606818167.43000007</v>
      </c>
      <c r="AI49" s="43">
        <v>12512829.91</v>
      </c>
      <c r="AJ49" s="43">
        <v>0</v>
      </c>
      <c r="AK49" s="43">
        <v>259380837.85000002</v>
      </c>
      <c r="AL49" s="43">
        <v>0</v>
      </c>
      <c r="AM49" s="43">
        <v>0</v>
      </c>
      <c r="AN49" s="43">
        <v>26370903.12999998</v>
      </c>
      <c r="AO49" s="43">
        <v>10855926.43</v>
      </c>
      <c r="AP49" s="43">
        <v>733730.81</v>
      </c>
      <c r="AQ49" s="43">
        <v>0</v>
      </c>
      <c r="AR49" s="43">
        <v>0</v>
      </c>
      <c r="AS49" s="43">
        <v>85822592.819999993</v>
      </c>
      <c r="AT49" s="43">
        <v>-71041346.930000007</v>
      </c>
      <c r="AU49" s="43">
        <v>0</v>
      </c>
      <c r="AV49" s="43">
        <v>143940376.66</v>
      </c>
      <c r="AW49" s="43">
        <v>0</v>
      </c>
      <c r="AX49" s="43">
        <v>0</v>
      </c>
      <c r="AY49" s="43">
        <v>143940376.66</v>
      </c>
      <c r="AZ49" s="43">
        <v>5851979.8799999999</v>
      </c>
      <c r="BA49" s="43">
        <v>5851979.8799999999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53471873.799999997</v>
      </c>
      <c r="BI49" s="43">
        <v>3188431.57</v>
      </c>
      <c r="BJ49" s="43">
        <v>0</v>
      </c>
      <c r="BK49" s="43">
        <v>5771892.96</v>
      </c>
      <c r="BL49" s="43">
        <v>-2583461.39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49917311.229999997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49917311.229999997</v>
      </c>
      <c r="CQ49" s="43">
        <v>0</v>
      </c>
      <c r="CR49" s="43">
        <v>0</v>
      </c>
      <c r="CS49" s="43">
        <v>0</v>
      </c>
      <c r="CT49" s="43">
        <v>0</v>
      </c>
      <c r="CU49" s="43">
        <v>366131</v>
      </c>
      <c r="CV49" s="43">
        <v>366131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875594043.31999993</v>
      </c>
      <c r="DF49" s="43">
        <v>698335601</v>
      </c>
      <c r="DG49" s="43">
        <v>698335601</v>
      </c>
      <c r="DH49" s="43">
        <v>0</v>
      </c>
      <c r="DI49" s="43">
        <v>0</v>
      </c>
      <c r="DJ49" s="43">
        <v>0</v>
      </c>
      <c r="DK49" s="43">
        <v>0</v>
      </c>
      <c r="DL49" s="43">
        <v>0</v>
      </c>
      <c r="DM49" s="43">
        <v>0</v>
      </c>
      <c r="DN49" s="43">
        <v>0</v>
      </c>
      <c r="DO49" s="43">
        <v>0</v>
      </c>
      <c r="DP49" s="43">
        <v>0</v>
      </c>
      <c r="DQ49" s="43">
        <v>0</v>
      </c>
      <c r="DR49" s="43">
        <v>941885.42999999993</v>
      </c>
      <c r="DS49" s="43">
        <v>471527.43</v>
      </c>
      <c r="DT49" s="43">
        <v>0</v>
      </c>
      <c r="DU49" s="43">
        <v>0</v>
      </c>
      <c r="DV49" s="43">
        <v>0</v>
      </c>
      <c r="DW49" s="43">
        <v>470358</v>
      </c>
      <c r="DX49" s="43">
        <v>0</v>
      </c>
      <c r="DY49" s="43">
        <v>86689503.530000001</v>
      </c>
      <c r="DZ49" s="43">
        <v>86689503.530000001</v>
      </c>
      <c r="EA49" s="43">
        <v>-32433977.57</v>
      </c>
      <c r="EB49" s="43">
        <v>-32433977.57</v>
      </c>
      <c r="EC49" s="43">
        <v>122061030.93000001</v>
      </c>
      <c r="ED49" s="43">
        <v>122061030.93000001</v>
      </c>
      <c r="EE49" s="43">
        <v>0</v>
      </c>
      <c r="EF49" s="43">
        <v>0</v>
      </c>
      <c r="EG49" s="51"/>
      <c r="EH49" s="51"/>
      <c r="EI49" s="51"/>
    </row>
    <row r="50" spans="1:139" ht="12.75" customHeight="1">
      <c r="A50" s="40" t="s">
        <v>139</v>
      </c>
      <c r="B50" s="41">
        <v>1058</v>
      </c>
      <c r="C50" s="42" t="s">
        <v>415</v>
      </c>
      <c r="D50" s="43">
        <v>1544789715.4899998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179249680.72999999</v>
      </c>
      <c r="O50" s="43">
        <v>168332570.97999999</v>
      </c>
      <c r="P50" s="43">
        <v>0</v>
      </c>
      <c r="Q50" s="43">
        <v>0</v>
      </c>
      <c r="R50" s="43">
        <v>0</v>
      </c>
      <c r="S50" s="43">
        <v>10917109.75</v>
      </c>
      <c r="T50" s="43">
        <v>0</v>
      </c>
      <c r="U50" s="43">
        <v>6292782.3600000003</v>
      </c>
      <c r="V50" s="43">
        <v>0</v>
      </c>
      <c r="W50" s="43">
        <v>0</v>
      </c>
      <c r="X50" s="43">
        <v>0</v>
      </c>
      <c r="Y50" s="43">
        <v>0</v>
      </c>
      <c r="Z50" s="43">
        <v>0</v>
      </c>
      <c r="AA50" s="43">
        <v>6292782.3600000003</v>
      </c>
      <c r="AB50" s="43">
        <v>28436058.48</v>
      </c>
      <c r="AC50" s="43">
        <v>0</v>
      </c>
      <c r="AD50" s="43">
        <v>0</v>
      </c>
      <c r="AE50" s="43">
        <v>28436058.48</v>
      </c>
      <c r="AF50" s="43">
        <v>0</v>
      </c>
      <c r="AG50" s="43">
        <v>1109826643.1799998</v>
      </c>
      <c r="AH50" s="43">
        <v>977844466.02999985</v>
      </c>
      <c r="AI50" s="43">
        <v>12780133.040000003</v>
      </c>
      <c r="AJ50" s="43">
        <v>0</v>
      </c>
      <c r="AK50" s="43">
        <v>119202044.1099999</v>
      </c>
      <c r="AL50" s="43">
        <v>0</v>
      </c>
      <c r="AM50" s="43">
        <v>0</v>
      </c>
      <c r="AN50" s="43">
        <v>56526825.150000006</v>
      </c>
      <c r="AO50" s="43">
        <v>13612861.74</v>
      </c>
      <c r="AP50" s="43">
        <v>4585353.57</v>
      </c>
      <c r="AQ50" s="43">
        <v>0</v>
      </c>
      <c r="AR50" s="43">
        <v>0</v>
      </c>
      <c r="AS50" s="43">
        <v>38328609.840000004</v>
      </c>
      <c r="AT50" s="43">
        <v>0</v>
      </c>
      <c r="AU50" s="43">
        <v>0</v>
      </c>
      <c r="AV50" s="43">
        <v>89376016.459999993</v>
      </c>
      <c r="AW50" s="43">
        <v>0</v>
      </c>
      <c r="AX50" s="43">
        <v>0</v>
      </c>
      <c r="AY50" s="43">
        <v>89376016.459999993</v>
      </c>
      <c r="AZ50" s="43">
        <v>75081709.129999995</v>
      </c>
      <c r="BA50" s="43">
        <v>75081709.129999995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20418782.119999997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0</v>
      </c>
      <c r="CB50" s="43">
        <v>0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15270041.119999999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15270041.119999999</v>
      </c>
      <c r="CQ50" s="43">
        <v>0</v>
      </c>
      <c r="CR50" s="43">
        <v>0</v>
      </c>
      <c r="CS50" s="43">
        <v>0</v>
      </c>
      <c r="CT50" s="43">
        <v>0</v>
      </c>
      <c r="CU50" s="43">
        <v>5148741</v>
      </c>
      <c r="CV50" s="43">
        <v>5148741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0</v>
      </c>
      <c r="DC50" s="43">
        <v>0</v>
      </c>
      <c r="DD50" s="43">
        <v>0</v>
      </c>
      <c r="DE50" s="43">
        <v>688721562.63999999</v>
      </c>
      <c r="DF50" s="43">
        <v>220000000</v>
      </c>
      <c r="DG50" s="43">
        <v>220000000</v>
      </c>
      <c r="DH50" s="43">
        <v>0</v>
      </c>
      <c r="DI50" s="43">
        <v>0</v>
      </c>
      <c r="DJ50" s="43">
        <v>0</v>
      </c>
      <c r="DK50" s="43">
        <v>0</v>
      </c>
      <c r="DL50" s="43">
        <v>0</v>
      </c>
      <c r="DM50" s="43">
        <v>0</v>
      </c>
      <c r="DN50" s="43">
        <v>0</v>
      </c>
      <c r="DO50" s="43">
        <v>0</v>
      </c>
      <c r="DP50" s="43">
        <v>0</v>
      </c>
      <c r="DQ50" s="43">
        <v>0</v>
      </c>
      <c r="DR50" s="43">
        <v>6780265.8300000001</v>
      </c>
      <c r="DS50" s="43">
        <v>0</v>
      </c>
      <c r="DT50" s="43">
        <v>0</v>
      </c>
      <c r="DU50" s="43">
        <v>0</v>
      </c>
      <c r="DV50" s="43">
        <v>6933447.5300000003</v>
      </c>
      <c r="DW50" s="43">
        <v>0</v>
      </c>
      <c r="DX50" s="43">
        <v>-153181.70000000001</v>
      </c>
      <c r="DY50" s="43">
        <v>371176431.67000002</v>
      </c>
      <c r="DZ50" s="43">
        <v>371176431.67000002</v>
      </c>
      <c r="EA50" s="43">
        <v>0</v>
      </c>
      <c r="EB50" s="43">
        <v>0</v>
      </c>
      <c r="EC50" s="43">
        <v>90764865.140000001</v>
      </c>
      <c r="ED50" s="43">
        <v>90764865.140000001</v>
      </c>
      <c r="EE50" s="43">
        <v>0</v>
      </c>
      <c r="EF50" s="43">
        <v>0</v>
      </c>
      <c r="EG50" s="51"/>
      <c r="EH50" s="51"/>
      <c r="EI50" s="51"/>
    </row>
    <row r="51" spans="1:139" ht="12.75" customHeight="1">
      <c r="A51" s="40" t="s">
        <v>142</v>
      </c>
      <c r="B51" s="41">
        <v>1059</v>
      </c>
      <c r="C51" s="42" t="s">
        <v>415</v>
      </c>
      <c r="D51" s="43">
        <v>778063609</v>
      </c>
      <c r="E51" s="43">
        <v>2985784.7</v>
      </c>
      <c r="F51" s="43">
        <v>0</v>
      </c>
      <c r="G51" s="43">
        <v>2985784.7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3749188.12</v>
      </c>
      <c r="O51" s="43">
        <v>3265105.16</v>
      </c>
      <c r="P51" s="43">
        <v>0</v>
      </c>
      <c r="Q51" s="43">
        <v>0</v>
      </c>
      <c r="R51" s="43">
        <v>0</v>
      </c>
      <c r="S51" s="43">
        <v>499765.31</v>
      </c>
      <c r="T51" s="43">
        <v>-15682.35</v>
      </c>
      <c r="U51" s="43">
        <v>1697146.54</v>
      </c>
      <c r="V51" s="43">
        <v>0</v>
      </c>
      <c r="W51" s="43">
        <v>0</v>
      </c>
      <c r="X51" s="43">
        <v>0</v>
      </c>
      <c r="Y51" s="43">
        <v>0</v>
      </c>
      <c r="Z51" s="43">
        <v>1697146.54</v>
      </c>
      <c r="AA51" s="43">
        <v>0</v>
      </c>
      <c r="AB51" s="43">
        <v>54878555.339999996</v>
      </c>
      <c r="AC51" s="43">
        <v>0</v>
      </c>
      <c r="AD51" s="43">
        <v>0</v>
      </c>
      <c r="AE51" s="43">
        <v>55209784.369999997</v>
      </c>
      <c r="AF51" s="43">
        <v>-331229.03000000003</v>
      </c>
      <c r="AG51" s="43">
        <v>651752079.52999997</v>
      </c>
      <c r="AH51" s="43">
        <v>553815659.04999995</v>
      </c>
      <c r="AI51" s="43">
        <v>2782445</v>
      </c>
      <c r="AJ51" s="43">
        <v>17922201.579999998</v>
      </c>
      <c r="AK51" s="43">
        <v>77231773.900000006</v>
      </c>
      <c r="AL51" s="43">
        <v>0</v>
      </c>
      <c r="AM51" s="43">
        <v>0</v>
      </c>
      <c r="AN51" s="43">
        <v>12967187.810000001</v>
      </c>
      <c r="AO51" s="43">
        <v>10023741.720000001</v>
      </c>
      <c r="AP51" s="43">
        <v>2943446.09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26675136.440000001</v>
      </c>
      <c r="AW51" s="43">
        <v>0</v>
      </c>
      <c r="AX51" s="43">
        <v>0</v>
      </c>
      <c r="AY51" s="43">
        <v>26675136.440000001</v>
      </c>
      <c r="AZ51" s="43">
        <v>23358530.52</v>
      </c>
      <c r="BA51" s="43">
        <v>232134.63</v>
      </c>
      <c r="BB51" s="43">
        <v>23126395.890000001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347438274.31999999</v>
      </c>
      <c r="BI51" s="43">
        <v>4784557.9400000004</v>
      </c>
      <c r="BJ51" s="43">
        <v>0</v>
      </c>
      <c r="BK51" s="43">
        <v>4784557.9400000004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339510322.90999997</v>
      </c>
      <c r="CK51" s="43">
        <v>322671059.77999997</v>
      </c>
      <c r="CL51" s="43">
        <v>0</v>
      </c>
      <c r="CM51" s="43">
        <v>10966509.01</v>
      </c>
      <c r="CN51" s="43">
        <v>0</v>
      </c>
      <c r="CO51" s="43">
        <v>0</v>
      </c>
      <c r="CP51" s="43">
        <v>5872754.1200000001</v>
      </c>
      <c r="CQ51" s="43">
        <v>0</v>
      </c>
      <c r="CR51" s="43">
        <v>0</v>
      </c>
      <c r="CS51" s="43">
        <v>0</v>
      </c>
      <c r="CT51" s="43">
        <v>0</v>
      </c>
      <c r="CU51" s="43">
        <v>3143393.47</v>
      </c>
      <c r="CV51" s="43">
        <v>3143393.47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434906046.43000025</v>
      </c>
      <c r="DF51" s="43">
        <v>355000000</v>
      </c>
      <c r="DG51" s="43">
        <v>355000000</v>
      </c>
      <c r="DH51" s="43">
        <v>0</v>
      </c>
      <c r="DI51" s="43">
        <v>0</v>
      </c>
      <c r="DJ51" s="43">
        <v>0</v>
      </c>
      <c r="DK51" s="43">
        <v>0</v>
      </c>
      <c r="DL51" s="43">
        <v>0</v>
      </c>
      <c r="DM51" s="43">
        <v>0</v>
      </c>
      <c r="DN51" s="43">
        <v>0</v>
      </c>
      <c r="DO51" s="43">
        <v>0</v>
      </c>
      <c r="DP51" s="43">
        <v>0</v>
      </c>
      <c r="DQ51" s="43">
        <v>0</v>
      </c>
      <c r="DR51" s="43">
        <v>59787.67</v>
      </c>
      <c r="DS51" s="43">
        <v>0</v>
      </c>
      <c r="DT51" s="43">
        <v>0</v>
      </c>
      <c r="DU51" s="43">
        <v>0</v>
      </c>
      <c r="DV51" s="43">
        <v>59787.67</v>
      </c>
      <c r="DW51" s="43">
        <v>0</v>
      </c>
      <c r="DX51" s="43">
        <v>0</v>
      </c>
      <c r="DY51" s="43">
        <v>5151288.53</v>
      </c>
      <c r="DZ51" s="43">
        <v>5151288.53</v>
      </c>
      <c r="EA51" s="43">
        <v>-40733721.740000002</v>
      </c>
      <c r="EB51" s="43">
        <v>-40733721.740000002</v>
      </c>
      <c r="EC51" s="43">
        <v>115428691.97000027</v>
      </c>
      <c r="ED51" s="43">
        <v>115428691.97000027</v>
      </c>
      <c r="EE51" s="43">
        <v>0</v>
      </c>
      <c r="EF51" s="43">
        <v>0</v>
      </c>
      <c r="EG51" s="51"/>
      <c r="EH51" s="51"/>
      <c r="EI51" s="51"/>
    </row>
    <row r="52" spans="1:139" ht="12.75" customHeight="1">
      <c r="A52" s="40" t="s">
        <v>145</v>
      </c>
      <c r="B52" s="41">
        <v>1060</v>
      </c>
      <c r="C52" s="42" t="s">
        <v>415</v>
      </c>
      <c r="D52" s="43">
        <v>18872019.300000001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2211057.31</v>
      </c>
      <c r="V52" s="43">
        <v>0</v>
      </c>
      <c r="W52" s="43">
        <v>0</v>
      </c>
      <c r="X52" s="43">
        <v>0</v>
      </c>
      <c r="Y52" s="43">
        <v>0</v>
      </c>
      <c r="Z52" s="43">
        <v>2211057.31</v>
      </c>
      <c r="AA52" s="43">
        <v>0</v>
      </c>
      <c r="AB52" s="43">
        <v>9709305.6699999999</v>
      </c>
      <c r="AC52" s="43">
        <v>0</v>
      </c>
      <c r="AD52" s="43">
        <v>0</v>
      </c>
      <c r="AE52" s="43">
        <v>9709305.6699999999</v>
      </c>
      <c r="AF52" s="43">
        <v>0</v>
      </c>
      <c r="AG52" s="43">
        <v>2319948.84</v>
      </c>
      <c r="AH52" s="43">
        <v>2319948.84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2352693.48</v>
      </c>
      <c r="AO52" s="43">
        <v>1146899.69</v>
      </c>
      <c r="AP52" s="43">
        <v>1205793.79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2279014</v>
      </c>
      <c r="AW52" s="43">
        <v>2279014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5080689.5600000005</v>
      </c>
      <c r="BI52" s="43">
        <v>0</v>
      </c>
      <c r="BJ52" s="43">
        <v>0</v>
      </c>
      <c r="BK52" s="43">
        <v>0</v>
      </c>
      <c r="BL52" s="43">
        <v>0</v>
      </c>
      <c r="BM52" s="43">
        <v>0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0</v>
      </c>
      <c r="CA52" s="43">
        <v>0</v>
      </c>
      <c r="CB52" s="43">
        <v>0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877424.56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877424.56</v>
      </c>
      <c r="CQ52" s="43">
        <v>0</v>
      </c>
      <c r="CR52" s="43">
        <v>0</v>
      </c>
      <c r="CS52" s="43">
        <v>0</v>
      </c>
      <c r="CT52" s="43">
        <v>0</v>
      </c>
      <c r="CU52" s="43">
        <v>4203265</v>
      </c>
      <c r="CV52" s="43">
        <v>4203265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0</v>
      </c>
      <c r="DC52" s="43">
        <v>0</v>
      </c>
      <c r="DD52" s="43">
        <v>0</v>
      </c>
      <c r="DE52" s="43">
        <v>989613142.47000015</v>
      </c>
      <c r="DF52" s="43">
        <v>830000000</v>
      </c>
      <c r="DG52" s="43">
        <v>830000000</v>
      </c>
      <c r="DH52" s="43">
        <v>0</v>
      </c>
      <c r="DI52" s="43">
        <v>0</v>
      </c>
      <c r="DJ52" s="43">
        <v>0</v>
      </c>
      <c r="DK52" s="43">
        <v>0</v>
      </c>
      <c r="DL52" s="43">
        <v>0</v>
      </c>
      <c r="DM52" s="43">
        <v>0</v>
      </c>
      <c r="DN52" s="43">
        <v>0</v>
      </c>
      <c r="DO52" s="43">
        <v>0</v>
      </c>
      <c r="DP52" s="43">
        <v>0</v>
      </c>
      <c r="DQ52" s="43">
        <v>0</v>
      </c>
      <c r="DR52" s="43">
        <v>0</v>
      </c>
      <c r="DS52" s="43">
        <v>0</v>
      </c>
      <c r="DT52" s="43">
        <v>0</v>
      </c>
      <c r="DU52" s="43">
        <v>0</v>
      </c>
      <c r="DV52" s="43">
        <v>0</v>
      </c>
      <c r="DW52" s="43">
        <v>0</v>
      </c>
      <c r="DX52" s="43">
        <v>0</v>
      </c>
      <c r="DY52" s="43">
        <v>186495339.69</v>
      </c>
      <c r="DZ52" s="43">
        <v>186495339.69</v>
      </c>
      <c r="EA52" s="43">
        <v>0</v>
      </c>
      <c r="EB52" s="43">
        <v>0</v>
      </c>
      <c r="EC52" s="43">
        <v>-26882197.219999898</v>
      </c>
      <c r="ED52" s="43">
        <v>0</v>
      </c>
      <c r="EE52" s="43">
        <v>-26882197.219999898</v>
      </c>
      <c r="EF52" s="43">
        <v>0</v>
      </c>
      <c r="EG52" s="51"/>
      <c r="EH52" s="51"/>
      <c r="EI52" s="51"/>
    </row>
    <row r="53" spans="1:139" ht="12.75" customHeight="1">
      <c r="A53" s="40" t="s">
        <v>148</v>
      </c>
      <c r="B53" s="41">
        <v>1061</v>
      </c>
      <c r="C53" s="42" t="s">
        <v>415</v>
      </c>
      <c r="D53" s="43">
        <v>5128984278.2699966</v>
      </c>
      <c r="E53" s="43">
        <v>1829888.5600000005</v>
      </c>
      <c r="F53" s="43">
        <v>0</v>
      </c>
      <c r="G53" s="43">
        <v>9933168.2100000009</v>
      </c>
      <c r="H53" s="43">
        <v>-8103279.6500000004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3805432.59</v>
      </c>
      <c r="O53" s="43">
        <v>3805432.59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3592616.64</v>
      </c>
      <c r="V53" s="43">
        <v>3557672.94</v>
      </c>
      <c r="W53" s="43">
        <v>0</v>
      </c>
      <c r="X53" s="43">
        <v>0</v>
      </c>
      <c r="Y53" s="43">
        <v>0</v>
      </c>
      <c r="Z53" s="43">
        <v>34943.699999999997</v>
      </c>
      <c r="AA53" s="43">
        <v>0</v>
      </c>
      <c r="AB53" s="43">
        <v>1007289550.9299983</v>
      </c>
      <c r="AC53" s="43">
        <v>0</v>
      </c>
      <c r="AD53" s="43">
        <v>0</v>
      </c>
      <c r="AE53" s="43">
        <v>1007289550.9299983</v>
      </c>
      <c r="AF53" s="43">
        <v>0</v>
      </c>
      <c r="AG53" s="43">
        <v>3979430140.7799988</v>
      </c>
      <c r="AH53" s="43">
        <v>3662804827.6399989</v>
      </c>
      <c r="AI53" s="43">
        <v>0</v>
      </c>
      <c r="AJ53" s="43">
        <v>0</v>
      </c>
      <c r="AK53" s="43">
        <v>316625313.13999999</v>
      </c>
      <c r="AL53" s="43">
        <v>0</v>
      </c>
      <c r="AM53" s="43">
        <v>0</v>
      </c>
      <c r="AN53" s="43">
        <v>42902141.149999991</v>
      </c>
      <c r="AO53" s="43">
        <v>34411887.599999994</v>
      </c>
      <c r="AP53" s="43">
        <v>8490253.5500000007</v>
      </c>
      <c r="AQ53" s="43">
        <v>0</v>
      </c>
      <c r="AR53" s="43">
        <v>0</v>
      </c>
      <c r="AS53" s="43">
        <v>31626633</v>
      </c>
      <c r="AT53" s="43">
        <v>-31626633</v>
      </c>
      <c r="AU53" s="43">
        <v>0</v>
      </c>
      <c r="AV53" s="43">
        <v>24739197.739999998</v>
      </c>
      <c r="AW53" s="43">
        <v>0</v>
      </c>
      <c r="AX53" s="43">
        <v>0</v>
      </c>
      <c r="AY53" s="43">
        <v>24739197.739999998</v>
      </c>
      <c r="AZ53" s="43">
        <v>55818334.25</v>
      </c>
      <c r="BA53" s="43">
        <v>0</v>
      </c>
      <c r="BB53" s="43">
        <v>55818334.25</v>
      </c>
      <c r="BC53" s="43">
        <v>0</v>
      </c>
      <c r="BD53" s="43">
        <v>9576975.6300000008</v>
      </c>
      <c r="BE53" s="43">
        <v>0</v>
      </c>
      <c r="BF53" s="43">
        <v>0</v>
      </c>
      <c r="BG53" s="43">
        <v>9576975.6300000008</v>
      </c>
      <c r="BH53" s="43">
        <v>40923034.460000001</v>
      </c>
      <c r="BI53" s="43">
        <v>20510673.32</v>
      </c>
      <c r="BJ53" s="43">
        <v>0</v>
      </c>
      <c r="BK53" s="43">
        <v>56950987.399999999</v>
      </c>
      <c r="BL53" s="43">
        <v>-36440314.079999998</v>
      </c>
      <c r="BM53" s="43">
        <v>0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0</v>
      </c>
      <c r="CB53" s="43">
        <v>0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3773035.1399999997</v>
      </c>
      <c r="CV53" s="43">
        <v>3773035.1399999997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16639326</v>
      </c>
      <c r="DC53" s="43">
        <v>16639326</v>
      </c>
      <c r="DD53" s="43">
        <v>0</v>
      </c>
      <c r="DE53" s="43">
        <v>2510698933.9700007</v>
      </c>
      <c r="DF53" s="43">
        <v>1850000000</v>
      </c>
      <c r="DG53" s="43">
        <v>1850000000</v>
      </c>
      <c r="DH53" s="43">
        <v>0</v>
      </c>
      <c r="DI53" s="43">
        <v>0</v>
      </c>
      <c r="DJ53" s="43">
        <v>0</v>
      </c>
      <c r="DK53" s="43">
        <v>0</v>
      </c>
      <c r="DL53" s="43">
        <v>229000000</v>
      </c>
      <c r="DM53" s="43">
        <v>229000000</v>
      </c>
      <c r="DN53" s="43">
        <v>0</v>
      </c>
      <c r="DO53" s="43">
        <v>0</v>
      </c>
      <c r="DP53" s="43">
        <v>0</v>
      </c>
      <c r="DQ53" s="43">
        <v>0</v>
      </c>
      <c r="DR53" s="43">
        <v>318308026.10000002</v>
      </c>
      <c r="DS53" s="43">
        <v>16003998</v>
      </c>
      <c r="DT53" s="43">
        <v>0</v>
      </c>
      <c r="DU53" s="43">
        <v>304075970</v>
      </c>
      <c r="DV53" s="43">
        <v>0</v>
      </c>
      <c r="DW53" s="43">
        <v>0</v>
      </c>
      <c r="DX53" s="43">
        <v>-1771941.9</v>
      </c>
      <c r="DY53" s="43">
        <v>0</v>
      </c>
      <c r="DZ53" s="43">
        <v>0</v>
      </c>
      <c r="EA53" s="43">
        <v>0</v>
      </c>
      <c r="EB53" s="43">
        <v>0</v>
      </c>
      <c r="EC53" s="43">
        <v>113390907.87000102</v>
      </c>
      <c r="ED53" s="43">
        <v>113390907.87000102</v>
      </c>
      <c r="EE53" s="43">
        <v>0</v>
      </c>
      <c r="EF53" s="43">
        <v>0</v>
      </c>
      <c r="EG53" s="51"/>
      <c r="EH53" s="51"/>
      <c r="EI53" s="51"/>
    </row>
    <row r="54" spans="1:139" ht="12.75" customHeight="1">
      <c r="A54" s="40" t="s">
        <v>1</v>
      </c>
      <c r="B54" s="41">
        <v>2001</v>
      </c>
      <c r="C54" s="42" t="s">
        <v>415</v>
      </c>
      <c r="D54" s="43">
        <v>33023771953.379944</v>
      </c>
      <c r="E54" s="43">
        <v>32546966.110000014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32546966.110000014</v>
      </c>
      <c r="N54" s="43">
        <v>7341002376.2099915</v>
      </c>
      <c r="O54" s="43">
        <v>1145812329.6900024</v>
      </c>
      <c r="P54" s="43">
        <v>0</v>
      </c>
      <c r="Q54" s="43">
        <v>0</v>
      </c>
      <c r="R54" s="43">
        <v>0</v>
      </c>
      <c r="S54" s="43">
        <v>6417270291.519989</v>
      </c>
      <c r="T54" s="43">
        <v>-222080245</v>
      </c>
      <c r="U54" s="43">
        <v>40541003.929999948</v>
      </c>
      <c r="V54" s="43">
        <v>-84064.490000009537</v>
      </c>
      <c r="W54" s="43">
        <v>0</v>
      </c>
      <c r="X54" s="43">
        <v>0</v>
      </c>
      <c r="Y54" s="43">
        <v>0</v>
      </c>
      <c r="Z54" s="43">
        <v>15601019.809999943</v>
      </c>
      <c r="AA54" s="43">
        <v>25024048.610000014</v>
      </c>
      <c r="AB54" s="43">
        <v>19678314.480000615</v>
      </c>
      <c r="AC54" s="43">
        <v>3214647.1199998856</v>
      </c>
      <c r="AD54" s="43">
        <v>0</v>
      </c>
      <c r="AE54" s="43">
        <v>16463667.36000073</v>
      </c>
      <c r="AF54" s="43">
        <v>0</v>
      </c>
      <c r="AG54" s="43">
        <v>24647164249.899956</v>
      </c>
      <c r="AH54" s="43">
        <v>20996224690.139954</v>
      </c>
      <c r="AI54" s="43">
        <v>0</v>
      </c>
      <c r="AJ54" s="43">
        <v>0</v>
      </c>
      <c r="AK54" s="43">
        <v>3650939559.7600002</v>
      </c>
      <c r="AL54" s="43">
        <v>0</v>
      </c>
      <c r="AM54" s="43">
        <v>0</v>
      </c>
      <c r="AN54" s="43">
        <v>-82053249.739999771</v>
      </c>
      <c r="AO54" s="43">
        <v>61671290.959999561</v>
      </c>
      <c r="AP54" s="43">
        <v>33207126.559999943</v>
      </c>
      <c r="AQ54" s="43">
        <v>0</v>
      </c>
      <c r="AR54" s="43">
        <v>0</v>
      </c>
      <c r="AS54" s="43">
        <v>1160870076.7000008</v>
      </c>
      <c r="AT54" s="43">
        <v>-1337801743.96</v>
      </c>
      <c r="AU54" s="43">
        <v>0</v>
      </c>
      <c r="AV54" s="43">
        <v>965011864.77999878</v>
      </c>
      <c r="AW54" s="43">
        <v>0</v>
      </c>
      <c r="AX54" s="43">
        <v>0</v>
      </c>
      <c r="AY54" s="43">
        <v>965011864.77999878</v>
      </c>
      <c r="AZ54" s="43">
        <v>59880427.710000038</v>
      </c>
      <c r="BA54" s="43">
        <v>0</v>
      </c>
      <c r="BB54" s="43">
        <v>59880427.710000038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82032595.649999887</v>
      </c>
      <c r="BI54" s="43">
        <v>0</v>
      </c>
      <c r="BJ54" s="43">
        <v>0</v>
      </c>
      <c r="BK54" s="43">
        <v>0</v>
      </c>
      <c r="BL54" s="43">
        <v>0</v>
      </c>
      <c r="BM54" s="43">
        <v>0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7248110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7248110</v>
      </c>
      <c r="CQ54" s="43">
        <v>0</v>
      </c>
      <c r="CR54" s="43">
        <v>0</v>
      </c>
      <c r="CS54" s="43">
        <v>0</v>
      </c>
      <c r="CT54" s="43">
        <v>0</v>
      </c>
      <c r="CU54" s="43">
        <v>73474517.249999881</v>
      </c>
      <c r="CV54" s="43">
        <v>73474517.249999881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1309968.3999999999</v>
      </c>
      <c r="DC54" s="43">
        <v>0</v>
      </c>
      <c r="DD54" s="43">
        <v>1309968.3999999999</v>
      </c>
      <c r="DE54" s="43">
        <v>13312995210.920198</v>
      </c>
      <c r="DF54" s="43">
        <v>183860320</v>
      </c>
      <c r="DG54" s="43">
        <v>183860320</v>
      </c>
      <c r="DH54" s="43">
        <v>0</v>
      </c>
      <c r="DI54" s="43">
        <v>0</v>
      </c>
      <c r="DJ54" s="43">
        <v>0</v>
      </c>
      <c r="DK54" s="43">
        <v>0</v>
      </c>
      <c r="DL54" s="43">
        <v>0</v>
      </c>
      <c r="DM54" s="43">
        <v>0</v>
      </c>
      <c r="DN54" s="43">
        <v>0</v>
      </c>
      <c r="DO54" s="43">
        <v>0</v>
      </c>
      <c r="DP54" s="43">
        <v>0</v>
      </c>
      <c r="DQ54" s="43">
        <v>0</v>
      </c>
      <c r="DR54" s="43">
        <v>349999722.79000068</v>
      </c>
      <c r="DS54" s="43">
        <v>136768460.79999995</v>
      </c>
      <c r="DT54" s="43">
        <v>0</v>
      </c>
      <c r="DU54" s="43">
        <v>66007.47000000003</v>
      </c>
      <c r="DV54" s="43">
        <v>442126.95999999996</v>
      </c>
      <c r="DW54" s="43">
        <v>212712591.99000072</v>
      </c>
      <c r="DX54" s="43">
        <v>10535.570000000007</v>
      </c>
      <c r="DY54" s="43">
        <v>10529092922.020233</v>
      </c>
      <c r="DZ54" s="43">
        <v>10529092922.020233</v>
      </c>
      <c r="EA54" s="43">
        <v>0</v>
      </c>
      <c r="EB54" s="43">
        <v>0</v>
      </c>
      <c r="EC54" s="43">
        <v>2250042246.1099648</v>
      </c>
      <c r="ED54" s="43">
        <v>2250042246.1099648</v>
      </c>
      <c r="EE54" s="43">
        <v>0</v>
      </c>
      <c r="EF54" s="43">
        <v>0</v>
      </c>
      <c r="EG54" s="51"/>
      <c r="EH54" s="51"/>
      <c r="EI54" s="51"/>
    </row>
    <row r="55" spans="1:139" ht="12.75" customHeight="1">
      <c r="A55" s="40" t="s">
        <v>153</v>
      </c>
      <c r="B55" s="41">
        <v>2002</v>
      </c>
      <c r="C55" s="42" t="s">
        <v>416</v>
      </c>
      <c r="D55" s="43">
        <v>2595050312.7799997</v>
      </c>
      <c r="E55" s="43">
        <v>9530220.870000001</v>
      </c>
      <c r="F55" s="43">
        <v>0</v>
      </c>
      <c r="G55" s="43">
        <v>11840400.720000001</v>
      </c>
      <c r="H55" s="43">
        <v>-2310179.8499999996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391541008.30999994</v>
      </c>
      <c r="O55" s="43">
        <v>310119.15999999642</v>
      </c>
      <c r="P55" s="43">
        <v>391230889.14999998</v>
      </c>
      <c r="Q55" s="43">
        <v>0</v>
      </c>
      <c r="R55" s="43">
        <v>0</v>
      </c>
      <c r="S55" s="43">
        <v>0</v>
      </c>
      <c r="T55" s="43">
        <v>0</v>
      </c>
      <c r="U55" s="43">
        <v>9015912.6099999994</v>
      </c>
      <c r="V55" s="43">
        <v>0</v>
      </c>
      <c r="W55" s="43">
        <v>0</v>
      </c>
      <c r="X55" s="43">
        <v>0</v>
      </c>
      <c r="Y55" s="43">
        <v>0</v>
      </c>
      <c r="Z55" s="43">
        <v>77890.310000002384</v>
      </c>
      <c r="AA55" s="43">
        <v>8938022.299999997</v>
      </c>
      <c r="AB55" s="43">
        <v>9977710.4099999815</v>
      </c>
      <c r="AC55" s="43">
        <v>0</v>
      </c>
      <c r="AD55" s="43">
        <v>0</v>
      </c>
      <c r="AE55" s="43">
        <v>9977710.4099999815</v>
      </c>
      <c r="AF55" s="43">
        <v>0</v>
      </c>
      <c r="AG55" s="43">
        <v>1905261163.71</v>
      </c>
      <c r="AH55" s="43">
        <v>1399085761.6000004</v>
      </c>
      <c r="AI55" s="43">
        <v>0</v>
      </c>
      <c r="AJ55" s="43">
        <v>0</v>
      </c>
      <c r="AK55" s="43">
        <v>506175402.10999978</v>
      </c>
      <c r="AL55" s="43">
        <v>0</v>
      </c>
      <c r="AM55" s="43">
        <v>0</v>
      </c>
      <c r="AN55" s="43">
        <v>57134457.620000005</v>
      </c>
      <c r="AO55" s="43">
        <v>8382832.1800000072</v>
      </c>
      <c r="AP55" s="43">
        <v>2848011.4299999997</v>
      </c>
      <c r="AQ55" s="43">
        <v>0</v>
      </c>
      <c r="AR55" s="43">
        <v>0</v>
      </c>
      <c r="AS55" s="43">
        <v>134697435.32999998</v>
      </c>
      <c r="AT55" s="43">
        <v>-88793821.319999993</v>
      </c>
      <c r="AU55" s="43">
        <v>0</v>
      </c>
      <c r="AV55" s="43">
        <v>212589839.25</v>
      </c>
      <c r="AW55" s="43">
        <v>0</v>
      </c>
      <c r="AX55" s="43">
        <v>0</v>
      </c>
      <c r="AY55" s="43">
        <v>212589839.25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0</v>
      </c>
      <c r="BF55" s="43">
        <v>0</v>
      </c>
      <c r="BG55" s="43">
        <v>0</v>
      </c>
      <c r="BH55" s="43">
        <v>387081524.07000005</v>
      </c>
      <c r="BI55" s="43">
        <v>7524283.7100000009</v>
      </c>
      <c r="BJ55" s="43">
        <v>0</v>
      </c>
      <c r="BK55" s="43">
        <v>8454000.7200000007</v>
      </c>
      <c r="BL55" s="43">
        <v>-929717.01000000013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376839415.99000007</v>
      </c>
      <c r="CK55" s="43">
        <v>0</v>
      </c>
      <c r="CL55" s="43">
        <v>0</v>
      </c>
      <c r="CM55" s="43">
        <v>188528794.30000007</v>
      </c>
      <c r="CN55" s="43">
        <v>182823664.77999997</v>
      </c>
      <c r="CO55" s="43">
        <v>0</v>
      </c>
      <c r="CP55" s="43">
        <v>5486956.9100000001</v>
      </c>
      <c r="CQ55" s="43">
        <v>0</v>
      </c>
      <c r="CR55" s="43">
        <v>0</v>
      </c>
      <c r="CS55" s="43">
        <v>0</v>
      </c>
      <c r="CT55" s="43">
        <v>0</v>
      </c>
      <c r="CU55" s="43">
        <v>2717824.3699999992</v>
      </c>
      <c r="CV55" s="43">
        <v>2717824.3699999992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1012277687.4599984</v>
      </c>
      <c r="DF55" s="43">
        <v>18147000</v>
      </c>
      <c r="DG55" s="43">
        <v>18147000</v>
      </c>
      <c r="DH55" s="43">
        <v>0</v>
      </c>
      <c r="DI55" s="43">
        <v>0</v>
      </c>
      <c r="DJ55" s="43">
        <v>0</v>
      </c>
      <c r="DK55" s="43">
        <v>0</v>
      </c>
      <c r="DL55" s="43">
        <v>0</v>
      </c>
      <c r="DM55" s="43">
        <v>0</v>
      </c>
      <c r="DN55" s="43">
        <v>0</v>
      </c>
      <c r="DO55" s="43">
        <v>0</v>
      </c>
      <c r="DP55" s="43">
        <v>0</v>
      </c>
      <c r="DQ55" s="43">
        <v>0</v>
      </c>
      <c r="DR55" s="43">
        <v>101789331.81</v>
      </c>
      <c r="DS55" s="43">
        <v>104863833.31</v>
      </c>
      <c r="DT55" s="43">
        <v>0</v>
      </c>
      <c r="DU55" s="43">
        <v>0</v>
      </c>
      <c r="DV55" s="43">
        <v>-3074501.5000000037</v>
      </c>
      <c r="DW55" s="43">
        <v>0</v>
      </c>
      <c r="DX55" s="43">
        <v>0</v>
      </c>
      <c r="DY55" s="43">
        <v>477860328.79999995</v>
      </c>
      <c r="DZ55" s="43">
        <v>477860328.79999995</v>
      </c>
      <c r="EA55" s="43">
        <v>0</v>
      </c>
      <c r="EB55" s="43">
        <v>0</v>
      </c>
      <c r="EC55" s="43">
        <v>414481026.84999847</v>
      </c>
      <c r="ED55" s="43">
        <v>414481026.84999847</v>
      </c>
      <c r="EE55" s="43">
        <v>0</v>
      </c>
      <c r="EF55" s="43">
        <v>0</v>
      </c>
      <c r="EG55" s="51"/>
      <c r="EH55" s="51"/>
      <c r="EI55" s="51"/>
    </row>
    <row r="56" spans="1:139" ht="12.75" customHeight="1">
      <c r="A56" s="40" t="s">
        <v>4</v>
      </c>
      <c r="B56" s="41">
        <v>2005</v>
      </c>
      <c r="C56" s="42" t="s">
        <v>416</v>
      </c>
      <c r="D56" s="43">
        <v>1491666861.5799997</v>
      </c>
      <c r="E56" s="43">
        <v>13259660.07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13259660.07</v>
      </c>
      <c r="N56" s="43">
        <v>216854628.77999997</v>
      </c>
      <c r="O56" s="43">
        <v>48186689.68</v>
      </c>
      <c r="P56" s="43">
        <v>8570379.3399999999</v>
      </c>
      <c r="Q56" s="43">
        <v>0</v>
      </c>
      <c r="R56" s="43">
        <v>0</v>
      </c>
      <c r="S56" s="43">
        <v>160097559.75999999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0</v>
      </c>
      <c r="AA56" s="43">
        <v>0</v>
      </c>
      <c r="AB56" s="43">
        <v>12695764.92</v>
      </c>
      <c r="AC56" s="43">
        <v>3393372.99</v>
      </c>
      <c r="AD56" s="43">
        <v>0</v>
      </c>
      <c r="AE56" s="43">
        <v>9302391.9299999997</v>
      </c>
      <c r="AF56" s="43">
        <v>0</v>
      </c>
      <c r="AG56" s="43">
        <v>1211383117.8899999</v>
      </c>
      <c r="AH56" s="43">
        <v>1188624126.46</v>
      </c>
      <c r="AI56" s="43">
        <v>0</v>
      </c>
      <c r="AJ56" s="43">
        <v>0</v>
      </c>
      <c r="AK56" s="43">
        <v>22215072.869999997</v>
      </c>
      <c r="AL56" s="43">
        <v>0</v>
      </c>
      <c r="AM56" s="43">
        <v>543918.56000000006</v>
      </c>
      <c r="AN56" s="43">
        <v>13845650.870000001</v>
      </c>
      <c r="AO56" s="43">
        <v>2396349.7200000002</v>
      </c>
      <c r="AP56" s="43">
        <v>5783569.6799999997</v>
      </c>
      <c r="AQ56" s="43">
        <v>0</v>
      </c>
      <c r="AR56" s="43">
        <v>0</v>
      </c>
      <c r="AS56" s="43">
        <v>24074749.210000001</v>
      </c>
      <c r="AT56" s="43">
        <v>-19012488.329999998</v>
      </c>
      <c r="AU56" s="43">
        <v>603470.59</v>
      </c>
      <c r="AV56" s="43">
        <v>23500055.350000001</v>
      </c>
      <c r="AW56" s="43">
        <v>0</v>
      </c>
      <c r="AX56" s="43">
        <v>0</v>
      </c>
      <c r="AY56" s="43">
        <v>23500055.350000001</v>
      </c>
      <c r="AZ56" s="43">
        <v>127983.7</v>
      </c>
      <c r="BA56" s="43">
        <v>127983.7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24404904.119999997</v>
      </c>
      <c r="BI56" s="43">
        <v>3771342.1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3771342.1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0</v>
      </c>
      <c r="CB56" s="43">
        <v>0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5502278.25</v>
      </c>
      <c r="CK56" s="43">
        <v>0</v>
      </c>
      <c r="CL56" s="43">
        <v>0</v>
      </c>
      <c r="CM56" s="43">
        <v>4435504.3499999996</v>
      </c>
      <c r="CN56" s="43">
        <v>0</v>
      </c>
      <c r="CO56" s="43">
        <v>0</v>
      </c>
      <c r="CP56" s="43">
        <v>1066773.8999999999</v>
      </c>
      <c r="CQ56" s="43">
        <v>0</v>
      </c>
      <c r="CR56" s="43">
        <v>0</v>
      </c>
      <c r="CS56" s="43">
        <v>0</v>
      </c>
      <c r="CT56" s="43">
        <v>0</v>
      </c>
      <c r="CU56" s="43">
        <v>15131283.77</v>
      </c>
      <c r="CV56" s="43">
        <v>15131283.77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0</v>
      </c>
      <c r="DE56" s="43">
        <v>543316604.97000003</v>
      </c>
      <c r="DF56" s="43">
        <v>45750000</v>
      </c>
      <c r="DG56" s="43">
        <v>45750000</v>
      </c>
      <c r="DH56" s="43">
        <v>0</v>
      </c>
      <c r="DI56" s="43">
        <v>0</v>
      </c>
      <c r="DJ56" s="43">
        <v>0</v>
      </c>
      <c r="DK56" s="43">
        <v>0</v>
      </c>
      <c r="DL56" s="43">
        <v>0</v>
      </c>
      <c r="DM56" s="43">
        <v>0</v>
      </c>
      <c r="DN56" s="43">
        <v>0</v>
      </c>
      <c r="DO56" s="43">
        <v>0</v>
      </c>
      <c r="DP56" s="43">
        <v>0</v>
      </c>
      <c r="DQ56" s="43">
        <v>0</v>
      </c>
      <c r="DR56" s="43">
        <v>-4915208.37</v>
      </c>
      <c r="DS56" s="43">
        <v>4583544.9000000004</v>
      </c>
      <c r="DT56" s="43">
        <v>0</v>
      </c>
      <c r="DU56" s="43">
        <v>36063.06</v>
      </c>
      <c r="DV56" s="43">
        <v>-9534816.3300000001</v>
      </c>
      <c r="DW56" s="43">
        <v>0</v>
      </c>
      <c r="DX56" s="43">
        <v>0</v>
      </c>
      <c r="DY56" s="43">
        <v>403328131.63999999</v>
      </c>
      <c r="DZ56" s="43">
        <v>403328131.63999999</v>
      </c>
      <c r="EA56" s="43">
        <v>-9772644.6799999997</v>
      </c>
      <c r="EB56" s="43">
        <v>-9772644.6799999997</v>
      </c>
      <c r="EC56" s="43">
        <v>108926326.38</v>
      </c>
      <c r="ED56" s="43">
        <v>108926326.38</v>
      </c>
      <c r="EE56" s="43">
        <v>0</v>
      </c>
      <c r="EF56" s="43">
        <v>0</v>
      </c>
      <c r="EG56" s="51"/>
      <c r="EH56" s="51"/>
      <c r="EI56" s="51"/>
    </row>
    <row r="57" spans="1:139" ht="12.75" customHeight="1">
      <c r="A57" s="40" t="s">
        <v>11</v>
      </c>
      <c r="B57" s="41">
        <v>2006</v>
      </c>
      <c r="C57" s="42" t="s">
        <v>417</v>
      </c>
      <c r="D57" s="43">
        <v>1291964645.5699999</v>
      </c>
      <c r="E57" s="43">
        <v>1620688.8900000004</v>
      </c>
      <c r="F57" s="43">
        <v>0</v>
      </c>
      <c r="G57" s="43">
        <v>2272799.9900000002</v>
      </c>
      <c r="H57" s="43">
        <v>-636871.18999999994</v>
      </c>
      <c r="I57" s="43">
        <v>0</v>
      </c>
      <c r="J57" s="43">
        <v>0</v>
      </c>
      <c r="K57" s="43">
        <v>0</v>
      </c>
      <c r="L57" s="43">
        <v>0</v>
      </c>
      <c r="M57" s="43">
        <v>-15239.91</v>
      </c>
      <c r="N57" s="43">
        <v>527648384.04999995</v>
      </c>
      <c r="O57" s="43">
        <v>125167750.28</v>
      </c>
      <c r="P57" s="43">
        <v>0</v>
      </c>
      <c r="Q57" s="43">
        <v>0</v>
      </c>
      <c r="R57" s="43">
        <v>402480633.76999998</v>
      </c>
      <c r="S57" s="43">
        <v>0</v>
      </c>
      <c r="T57" s="43">
        <v>0</v>
      </c>
      <c r="U57" s="43">
        <v>40690082.670000002</v>
      </c>
      <c r="V57" s="43">
        <v>40690082.670000002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172756758.92999998</v>
      </c>
      <c r="AC57" s="43">
        <v>0</v>
      </c>
      <c r="AD57" s="43">
        <v>0</v>
      </c>
      <c r="AE57" s="43">
        <v>172756758.92999998</v>
      </c>
      <c r="AF57" s="43">
        <v>0</v>
      </c>
      <c r="AG57" s="43">
        <v>358790876.08999997</v>
      </c>
      <c r="AH57" s="43">
        <v>271330717.19</v>
      </c>
      <c r="AI57" s="43">
        <v>0</v>
      </c>
      <c r="AJ57" s="43">
        <v>9349852.2699999996</v>
      </c>
      <c r="AK57" s="43">
        <v>78110306.629999995</v>
      </c>
      <c r="AL57" s="43">
        <v>0</v>
      </c>
      <c r="AM57" s="43">
        <v>0</v>
      </c>
      <c r="AN57" s="43">
        <v>52377406.560000017</v>
      </c>
      <c r="AO57" s="43">
        <v>44427377.880000018</v>
      </c>
      <c r="AP57" s="43">
        <v>7950028.6799999997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138963339.62</v>
      </c>
      <c r="AW57" s="43">
        <v>0</v>
      </c>
      <c r="AX57" s="43">
        <v>0</v>
      </c>
      <c r="AY57" s="43">
        <v>138963339.62</v>
      </c>
      <c r="AZ57" s="43">
        <v>-1831450.61</v>
      </c>
      <c r="BA57" s="43">
        <v>-1831450.61</v>
      </c>
      <c r="BB57" s="43">
        <v>0</v>
      </c>
      <c r="BC57" s="43">
        <v>0</v>
      </c>
      <c r="BD57" s="43">
        <v>948559.36999999988</v>
      </c>
      <c r="BE57" s="43">
        <v>0</v>
      </c>
      <c r="BF57" s="43">
        <v>0</v>
      </c>
      <c r="BG57" s="43">
        <v>948559.36999999988</v>
      </c>
      <c r="BH57" s="43">
        <v>48533512450.660011</v>
      </c>
      <c r="BI57" s="43">
        <v>486578.52</v>
      </c>
      <c r="BJ57" s="43">
        <v>0</v>
      </c>
      <c r="BK57" s="43">
        <v>535800</v>
      </c>
      <c r="BL57" s="43">
        <v>-49221.48</v>
      </c>
      <c r="BM57" s="43">
        <v>0</v>
      </c>
      <c r="BN57" s="43">
        <v>0</v>
      </c>
      <c r="BO57" s="43">
        <v>0</v>
      </c>
      <c r="BP57" s="43">
        <v>0</v>
      </c>
      <c r="BQ57" s="43">
        <v>47531848563.820007</v>
      </c>
      <c r="BR57" s="43">
        <v>0</v>
      </c>
      <c r="BS57" s="43">
        <v>0</v>
      </c>
      <c r="BT57" s="43">
        <v>0</v>
      </c>
      <c r="BU57" s="43">
        <v>47531848563.820007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</v>
      </c>
      <c r="CB57" s="43">
        <v>0</v>
      </c>
      <c r="CC57" s="43">
        <v>0</v>
      </c>
      <c r="CD57" s="43">
        <v>0</v>
      </c>
      <c r="CE57" s="43">
        <v>9725172.370000001</v>
      </c>
      <c r="CF57" s="43">
        <v>9725172.370000001</v>
      </c>
      <c r="CG57" s="43">
        <v>0</v>
      </c>
      <c r="CH57" s="43">
        <v>0</v>
      </c>
      <c r="CI57" s="43">
        <v>0</v>
      </c>
      <c r="CJ57" s="43">
        <v>981343418.08000004</v>
      </c>
      <c r="CK57" s="43">
        <v>0</v>
      </c>
      <c r="CL57" s="43">
        <v>0</v>
      </c>
      <c r="CM57" s="43">
        <v>939055191.72000003</v>
      </c>
      <c r="CN57" s="43">
        <v>0</v>
      </c>
      <c r="CO57" s="43">
        <v>0</v>
      </c>
      <c r="CP57" s="43">
        <v>42288226.359999999</v>
      </c>
      <c r="CQ57" s="43">
        <v>0</v>
      </c>
      <c r="CR57" s="43">
        <v>0</v>
      </c>
      <c r="CS57" s="43">
        <v>0</v>
      </c>
      <c r="CT57" s="43">
        <v>0</v>
      </c>
      <c r="CU57" s="43">
        <v>10108717.869999999</v>
      </c>
      <c r="CV57" s="43">
        <v>10108717.869999999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0</v>
      </c>
      <c r="DC57" s="43">
        <v>0</v>
      </c>
      <c r="DD57" s="43">
        <v>0</v>
      </c>
      <c r="DE57" s="43">
        <v>2259038027.8800001</v>
      </c>
      <c r="DF57" s="43">
        <v>2147457684.04</v>
      </c>
      <c r="DG57" s="43">
        <v>2145000000</v>
      </c>
      <c r="DH57" s="43">
        <v>0</v>
      </c>
      <c r="DI57" s="43">
        <v>2457684.04</v>
      </c>
      <c r="DJ57" s="43">
        <v>0</v>
      </c>
      <c r="DK57" s="43">
        <v>0</v>
      </c>
      <c r="DL57" s="43">
        <v>362253667.80000001</v>
      </c>
      <c r="DM57" s="43">
        <v>362253667.80000001</v>
      </c>
      <c r="DN57" s="43">
        <v>0</v>
      </c>
      <c r="DO57" s="43">
        <v>0</v>
      </c>
      <c r="DP57" s="43">
        <v>0</v>
      </c>
      <c r="DQ57" s="43">
        <v>0</v>
      </c>
      <c r="DR57" s="43">
        <v>27017874.200000003</v>
      </c>
      <c r="DS57" s="43">
        <v>12012170.09</v>
      </c>
      <c r="DT57" s="43">
        <v>0</v>
      </c>
      <c r="DU57" s="43">
        <v>6225729.8899999997</v>
      </c>
      <c r="DV57" s="43">
        <v>3873225.46</v>
      </c>
      <c r="DW57" s="43">
        <v>11145236.34</v>
      </c>
      <c r="DX57" s="43">
        <v>-6238487.5800000001</v>
      </c>
      <c r="DY57" s="43">
        <v>0</v>
      </c>
      <c r="DZ57" s="43">
        <v>0</v>
      </c>
      <c r="EA57" s="43">
        <v>-331153471.60000002</v>
      </c>
      <c r="EB57" s="43">
        <v>-331153471.60000002</v>
      </c>
      <c r="EC57" s="43">
        <v>53462273.440000117</v>
      </c>
      <c r="ED57" s="43">
        <v>53462273.440000117</v>
      </c>
      <c r="EE57" s="43">
        <v>0</v>
      </c>
      <c r="EF57" s="43">
        <v>0</v>
      </c>
      <c r="EG57" s="51"/>
      <c r="EH57" s="51"/>
      <c r="EI57" s="51"/>
    </row>
    <row r="58" spans="1:139" ht="12.75" customHeight="1">
      <c r="A58" s="40" t="s">
        <v>160</v>
      </c>
      <c r="B58" s="41">
        <v>2007</v>
      </c>
      <c r="C58" s="42" t="s">
        <v>416</v>
      </c>
      <c r="D58" s="43">
        <v>220723082.33999997</v>
      </c>
      <c r="E58" s="43">
        <v>6351090.5899999999</v>
      </c>
      <c r="F58" s="43">
        <v>0</v>
      </c>
      <c r="G58" s="43">
        <v>6351090.5899999999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32598655.529999994</v>
      </c>
      <c r="O58" s="43">
        <v>32598655.529999994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37532810.219999999</v>
      </c>
      <c r="V58" s="43">
        <v>0</v>
      </c>
      <c r="W58" s="43">
        <v>0</v>
      </c>
      <c r="X58" s="43">
        <v>0</v>
      </c>
      <c r="Y58" s="43">
        <v>37501152.240000002</v>
      </c>
      <c r="Z58" s="43">
        <v>31657.979999998592</v>
      </c>
      <c r="AA58" s="43">
        <v>0</v>
      </c>
      <c r="AB58" s="43">
        <v>13127884.17</v>
      </c>
      <c r="AC58" s="43">
        <v>0</v>
      </c>
      <c r="AD58" s="43">
        <v>0</v>
      </c>
      <c r="AE58" s="43">
        <v>13127884.17</v>
      </c>
      <c r="AF58" s="43">
        <v>0</v>
      </c>
      <c r="AG58" s="43">
        <v>64901821.579999998</v>
      </c>
      <c r="AH58" s="43">
        <v>47539980.109999999</v>
      </c>
      <c r="AI58" s="43">
        <v>0</v>
      </c>
      <c r="AJ58" s="43">
        <v>516235.88</v>
      </c>
      <c r="AK58" s="43">
        <v>16845605.59</v>
      </c>
      <c r="AL58" s="43">
        <v>0</v>
      </c>
      <c r="AM58" s="43">
        <v>0</v>
      </c>
      <c r="AN58" s="43">
        <v>42520416.420000017</v>
      </c>
      <c r="AO58" s="43">
        <v>2783664.57</v>
      </c>
      <c r="AP58" s="43">
        <v>1149508.4099999999</v>
      </c>
      <c r="AQ58" s="43">
        <v>0</v>
      </c>
      <c r="AR58" s="43">
        <v>0</v>
      </c>
      <c r="AS58" s="43">
        <v>115644991.29000001</v>
      </c>
      <c r="AT58" s="43">
        <v>-77057747.849999994</v>
      </c>
      <c r="AU58" s="43">
        <v>0</v>
      </c>
      <c r="AV58" s="43">
        <v>22583810.649999999</v>
      </c>
      <c r="AW58" s="43">
        <v>0</v>
      </c>
      <c r="AX58" s="43">
        <v>0</v>
      </c>
      <c r="AY58" s="43">
        <v>22583810.649999999</v>
      </c>
      <c r="AZ58" s="43">
        <v>0</v>
      </c>
      <c r="BA58" s="43">
        <v>0</v>
      </c>
      <c r="BB58" s="43">
        <v>0</v>
      </c>
      <c r="BC58" s="43">
        <v>0</v>
      </c>
      <c r="BD58" s="43">
        <v>1106593.1799999799</v>
      </c>
      <c r="BE58" s="43">
        <v>0</v>
      </c>
      <c r="BF58" s="43">
        <v>0</v>
      </c>
      <c r="BG58" s="43">
        <v>1106593.1799999799</v>
      </c>
      <c r="BH58" s="43">
        <v>183318460.88999999</v>
      </c>
      <c r="BI58" s="43">
        <v>2566713.7400000002</v>
      </c>
      <c r="BJ58" s="43">
        <v>0</v>
      </c>
      <c r="BK58" s="43">
        <v>2566713.7400000002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</v>
      </c>
      <c r="CB58" s="43">
        <v>0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174160686.92999998</v>
      </c>
      <c r="CK58" s="43">
        <v>0</v>
      </c>
      <c r="CL58" s="43">
        <v>0</v>
      </c>
      <c r="CM58" s="43">
        <v>160231897.51999998</v>
      </c>
      <c r="CN58" s="43">
        <v>0</v>
      </c>
      <c r="CO58" s="43">
        <v>0</v>
      </c>
      <c r="CP58" s="43">
        <v>13928789.41</v>
      </c>
      <c r="CQ58" s="43">
        <v>0</v>
      </c>
      <c r="CR58" s="43">
        <v>0</v>
      </c>
      <c r="CS58" s="43">
        <v>0</v>
      </c>
      <c r="CT58" s="43">
        <v>0</v>
      </c>
      <c r="CU58" s="43">
        <v>6591060.2199999997</v>
      </c>
      <c r="CV58" s="43">
        <v>6591060.2199999997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</v>
      </c>
      <c r="DC58" s="43">
        <v>0</v>
      </c>
      <c r="DD58" s="43">
        <v>0</v>
      </c>
      <c r="DE58" s="43">
        <v>1408411612.8399999</v>
      </c>
      <c r="DF58" s="43">
        <v>1195000000</v>
      </c>
      <c r="DG58" s="43">
        <v>1300000000</v>
      </c>
      <c r="DH58" s="43">
        <v>0</v>
      </c>
      <c r="DI58" s="43">
        <v>0</v>
      </c>
      <c r="DJ58" s="43">
        <v>0</v>
      </c>
      <c r="DK58" s="43">
        <v>-105000000</v>
      </c>
      <c r="DL58" s="43">
        <v>0</v>
      </c>
      <c r="DM58" s="43">
        <v>0</v>
      </c>
      <c r="DN58" s="43">
        <v>0</v>
      </c>
      <c r="DO58" s="43">
        <v>0</v>
      </c>
      <c r="DP58" s="43">
        <v>0</v>
      </c>
      <c r="DQ58" s="43">
        <v>0</v>
      </c>
      <c r="DR58" s="43">
        <v>-4036877.5000000098</v>
      </c>
      <c r="DS58" s="43">
        <v>13965.88</v>
      </c>
      <c r="DT58" s="43">
        <v>0</v>
      </c>
      <c r="DU58" s="43">
        <v>265351.8</v>
      </c>
      <c r="DV58" s="43">
        <v>0</v>
      </c>
      <c r="DW58" s="43">
        <v>-4316195.1800000099</v>
      </c>
      <c r="DX58" s="43">
        <v>0</v>
      </c>
      <c r="DY58" s="43">
        <v>103409408.81999999</v>
      </c>
      <c r="DZ58" s="43">
        <v>103409408.81999999</v>
      </c>
      <c r="EA58" s="43">
        <v>-1325555.4099999999</v>
      </c>
      <c r="EB58" s="43">
        <v>-1325555.4099999999</v>
      </c>
      <c r="EC58" s="43">
        <v>115364636.93000001</v>
      </c>
      <c r="ED58" s="43">
        <v>115364636.93000001</v>
      </c>
      <c r="EE58" s="43">
        <v>0</v>
      </c>
      <c r="EF58" s="43">
        <v>0</v>
      </c>
      <c r="EG58" s="51"/>
      <c r="EH58" s="51"/>
      <c r="EI58" s="51"/>
    </row>
    <row r="59" spans="1:139" ht="12.75" customHeight="1">
      <c r="A59" s="40" t="s">
        <v>163</v>
      </c>
      <c r="B59" s="41">
        <v>2008</v>
      </c>
      <c r="C59" s="42" t="s">
        <v>416</v>
      </c>
      <c r="D59" s="43">
        <v>310643274.75999999</v>
      </c>
      <c r="E59" s="43">
        <v>2029667.55</v>
      </c>
      <c r="F59" s="43">
        <v>0</v>
      </c>
      <c r="G59" s="43">
        <v>2029667.55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6041196.46</v>
      </c>
      <c r="O59" s="43">
        <v>6041196.46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24717.37</v>
      </c>
      <c r="V59" s="43">
        <v>24717.37</v>
      </c>
      <c r="W59" s="43">
        <v>0</v>
      </c>
      <c r="X59" s="43">
        <v>0</v>
      </c>
      <c r="Y59" s="43">
        <v>0</v>
      </c>
      <c r="Z59" s="43">
        <v>0</v>
      </c>
      <c r="AA59" s="43">
        <v>0</v>
      </c>
      <c r="AB59" s="43">
        <v>8391669.4199999999</v>
      </c>
      <c r="AC59" s="43">
        <v>972746.68</v>
      </c>
      <c r="AD59" s="43">
        <v>0</v>
      </c>
      <c r="AE59" s="43">
        <v>7418922.7400000002</v>
      </c>
      <c r="AF59" s="43">
        <v>0</v>
      </c>
      <c r="AG59" s="43">
        <v>282517139.65999997</v>
      </c>
      <c r="AH59" s="43">
        <v>182130103.72</v>
      </c>
      <c r="AI59" s="43">
        <v>0</v>
      </c>
      <c r="AJ59" s="43">
        <v>0</v>
      </c>
      <c r="AK59" s="43">
        <v>100387035.94</v>
      </c>
      <c r="AL59" s="43">
        <v>0</v>
      </c>
      <c r="AM59" s="43">
        <v>0</v>
      </c>
      <c r="AN59" s="43">
        <v>9303645.5300000012</v>
      </c>
      <c r="AO59" s="43">
        <v>3071929.03</v>
      </c>
      <c r="AP59" s="43">
        <v>1259979.7</v>
      </c>
      <c r="AQ59" s="43">
        <v>0</v>
      </c>
      <c r="AR59" s="43">
        <v>0</v>
      </c>
      <c r="AS59" s="43">
        <v>13712204.41</v>
      </c>
      <c r="AT59" s="43">
        <v>-8740467.6099999994</v>
      </c>
      <c r="AU59" s="43">
        <v>0</v>
      </c>
      <c r="AV59" s="43">
        <v>2335238.77</v>
      </c>
      <c r="AW59" s="43">
        <v>0</v>
      </c>
      <c r="AX59" s="43">
        <v>0</v>
      </c>
      <c r="AY59" s="43">
        <v>2335238.77</v>
      </c>
      <c r="AZ59" s="43">
        <v>0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17471608.469999999</v>
      </c>
      <c r="BI59" s="43">
        <v>7322549.1200000001</v>
      </c>
      <c r="BJ59" s="43">
        <v>0</v>
      </c>
      <c r="BK59" s="43">
        <v>7322549.1200000001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0</v>
      </c>
      <c r="CA59" s="43">
        <v>0</v>
      </c>
      <c r="CB59" s="43">
        <v>0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3">
        <v>7998325.8300000001</v>
      </c>
      <c r="CK59" s="43">
        <v>0</v>
      </c>
      <c r="CL59" s="43">
        <v>0</v>
      </c>
      <c r="CM59" s="43">
        <v>3123679.49</v>
      </c>
      <c r="CN59" s="43">
        <v>0</v>
      </c>
      <c r="CO59" s="43">
        <v>0</v>
      </c>
      <c r="CP59" s="43">
        <v>4874646.34</v>
      </c>
      <c r="CQ59" s="43">
        <v>0</v>
      </c>
      <c r="CR59" s="43">
        <v>0</v>
      </c>
      <c r="CS59" s="43">
        <v>0</v>
      </c>
      <c r="CT59" s="43">
        <v>0</v>
      </c>
      <c r="CU59" s="43">
        <v>2150733.52</v>
      </c>
      <c r="CV59" s="43">
        <v>2150733.52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0</v>
      </c>
      <c r="DC59" s="43">
        <v>0</v>
      </c>
      <c r="DD59" s="43">
        <v>0</v>
      </c>
      <c r="DE59" s="43">
        <v>338007145.85000002</v>
      </c>
      <c r="DF59" s="43">
        <v>250000000</v>
      </c>
      <c r="DG59" s="43">
        <v>250000000</v>
      </c>
      <c r="DH59" s="43">
        <v>0</v>
      </c>
      <c r="DI59" s="43">
        <v>0</v>
      </c>
      <c r="DJ59" s="43">
        <v>0</v>
      </c>
      <c r="DK59" s="43">
        <v>0</v>
      </c>
      <c r="DL59" s="43">
        <v>0</v>
      </c>
      <c r="DM59" s="43">
        <v>0</v>
      </c>
      <c r="DN59" s="43">
        <v>0</v>
      </c>
      <c r="DO59" s="43">
        <v>0</v>
      </c>
      <c r="DP59" s="43">
        <v>0</v>
      </c>
      <c r="DQ59" s="43">
        <v>0</v>
      </c>
      <c r="DR59" s="43">
        <v>65096739.719999999</v>
      </c>
      <c r="DS59" s="43">
        <v>3254836.97</v>
      </c>
      <c r="DT59" s="43">
        <v>0</v>
      </c>
      <c r="DU59" s="43">
        <v>61841902.75</v>
      </c>
      <c r="DV59" s="43">
        <v>0</v>
      </c>
      <c r="DW59" s="43">
        <v>0</v>
      </c>
      <c r="DX59" s="43">
        <v>0</v>
      </c>
      <c r="DY59" s="43">
        <v>0</v>
      </c>
      <c r="DZ59" s="43">
        <v>0</v>
      </c>
      <c r="EA59" s="43">
        <v>-11178880.439999999</v>
      </c>
      <c r="EB59" s="43">
        <v>-11178880.439999999</v>
      </c>
      <c r="EC59" s="43">
        <v>34089286.57</v>
      </c>
      <c r="ED59" s="43">
        <v>34089286.57</v>
      </c>
      <c r="EE59" s="43">
        <v>0</v>
      </c>
      <c r="EF59" s="43">
        <v>0</v>
      </c>
      <c r="EG59" s="51"/>
      <c r="EH59" s="51"/>
      <c r="EI59" s="51"/>
    </row>
    <row r="60" spans="1:139" ht="12.75" customHeight="1">
      <c r="A60" s="40" t="s">
        <v>2</v>
      </c>
      <c r="B60" s="41">
        <v>3001</v>
      </c>
      <c r="C60" s="42" t="s">
        <v>417</v>
      </c>
      <c r="D60" s="43">
        <v>-4270823310.1900015</v>
      </c>
      <c r="E60" s="43">
        <v>335031823.98000002</v>
      </c>
      <c r="F60" s="43">
        <v>0</v>
      </c>
      <c r="G60" s="43">
        <v>335031823.98000002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1117034903.26</v>
      </c>
      <c r="O60" s="43">
        <v>1092632426.77</v>
      </c>
      <c r="P60" s="43">
        <v>0</v>
      </c>
      <c r="Q60" s="43">
        <v>0</v>
      </c>
      <c r="R60" s="43">
        <v>23525483.000000011</v>
      </c>
      <c r="S60" s="43">
        <v>876993.49</v>
      </c>
      <c r="T60" s="43">
        <v>0</v>
      </c>
      <c r="U60" s="43">
        <v>36839227.399999999</v>
      </c>
      <c r="V60" s="43">
        <v>0</v>
      </c>
      <c r="W60" s="43">
        <v>0</v>
      </c>
      <c r="X60" s="43">
        <v>0</v>
      </c>
      <c r="Y60" s="43">
        <v>0</v>
      </c>
      <c r="Z60" s="43">
        <v>937154.84</v>
      </c>
      <c r="AA60" s="43">
        <v>35902072.559999995</v>
      </c>
      <c r="AB60" s="43">
        <v>192085440.90000001</v>
      </c>
      <c r="AC60" s="43">
        <v>109327473.24000001</v>
      </c>
      <c r="AD60" s="43">
        <v>0</v>
      </c>
      <c r="AE60" s="43">
        <v>82757967.659999996</v>
      </c>
      <c r="AF60" s="43">
        <v>0</v>
      </c>
      <c r="AG60" s="43">
        <v>2696639218.4499998</v>
      </c>
      <c r="AH60" s="43">
        <v>23156518.480000004</v>
      </c>
      <c r="AI60" s="43">
        <v>0</v>
      </c>
      <c r="AJ60" s="43">
        <v>2257040723</v>
      </c>
      <c r="AK60" s="43">
        <v>416441976.97000003</v>
      </c>
      <c r="AL60" s="43">
        <v>0</v>
      </c>
      <c r="AM60" s="43">
        <v>0</v>
      </c>
      <c r="AN60" s="43">
        <v>741967103.40999985</v>
      </c>
      <c r="AO60" s="43">
        <v>124235435.43999994</v>
      </c>
      <c r="AP60" s="43">
        <v>120530059.98</v>
      </c>
      <c r="AQ60" s="43">
        <v>0</v>
      </c>
      <c r="AR60" s="43">
        <v>0</v>
      </c>
      <c r="AS60" s="43">
        <v>1194747481.99</v>
      </c>
      <c r="AT60" s="43">
        <v>-697545874</v>
      </c>
      <c r="AU60" s="43">
        <v>0</v>
      </c>
      <c r="AV60" s="43">
        <v>0</v>
      </c>
      <c r="AW60" s="43">
        <v>0</v>
      </c>
      <c r="AX60" s="43">
        <v>0</v>
      </c>
      <c r="AY60" s="43">
        <v>0</v>
      </c>
      <c r="AZ60" s="43">
        <v>-9548947415.7900009</v>
      </c>
      <c r="BA60" s="43">
        <v>15645.41</v>
      </c>
      <c r="BB60" s="43">
        <v>1083255004.75</v>
      </c>
      <c r="BC60" s="43">
        <v>-10632218065.950001</v>
      </c>
      <c r="BD60" s="43">
        <v>158526388.19999999</v>
      </c>
      <c r="BE60" s="43">
        <v>0</v>
      </c>
      <c r="BF60" s="43">
        <v>0</v>
      </c>
      <c r="BG60" s="43">
        <v>158526388.19999999</v>
      </c>
      <c r="BH60" s="43">
        <v>57294891262.139999</v>
      </c>
      <c r="BI60" s="43">
        <v>432888220.09000003</v>
      </c>
      <c r="BJ60" s="43">
        <v>0</v>
      </c>
      <c r="BK60" s="43">
        <v>432888220.09000003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522173756.13000005</v>
      </c>
      <c r="BR60" s="43">
        <v>0</v>
      </c>
      <c r="BS60" s="43">
        <v>0</v>
      </c>
      <c r="BT60" s="43">
        <v>0</v>
      </c>
      <c r="BU60" s="43">
        <v>522173756.13000005</v>
      </c>
      <c r="BV60" s="43">
        <v>0</v>
      </c>
      <c r="BW60" s="43">
        <v>0</v>
      </c>
      <c r="BX60" s="43">
        <v>0</v>
      </c>
      <c r="BY60" s="43">
        <v>0</v>
      </c>
      <c r="BZ60" s="43">
        <v>0</v>
      </c>
      <c r="CA60" s="43">
        <v>0</v>
      </c>
      <c r="CB60" s="43">
        <v>0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34542720268</v>
      </c>
      <c r="CK60" s="43">
        <v>0</v>
      </c>
      <c r="CL60" s="43">
        <v>0</v>
      </c>
      <c r="CM60" s="43">
        <v>34500912946</v>
      </c>
      <c r="CN60" s="43">
        <v>0</v>
      </c>
      <c r="CO60" s="43">
        <v>0</v>
      </c>
      <c r="CP60" s="43">
        <v>41807322</v>
      </c>
      <c r="CQ60" s="43">
        <v>0</v>
      </c>
      <c r="CR60" s="43">
        <v>0</v>
      </c>
      <c r="CS60" s="43">
        <v>0</v>
      </c>
      <c r="CT60" s="43">
        <v>0</v>
      </c>
      <c r="CU60" s="43">
        <v>129039566</v>
      </c>
      <c r="CV60" s="43">
        <v>129039566</v>
      </c>
      <c r="CW60" s="43">
        <v>0</v>
      </c>
      <c r="CX60" s="43">
        <v>21668069451.919998</v>
      </c>
      <c r="CY60" s="43">
        <v>0</v>
      </c>
      <c r="CZ60" s="43">
        <v>0</v>
      </c>
      <c r="DA60" s="43">
        <v>21668069451.919998</v>
      </c>
      <c r="DB60" s="43">
        <v>0</v>
      </c>
      <c r="DC60" s="43">
        <v>0</v>
      </c>
      <c r="DD60" s="43">
        <v>0</v>
      </c>
      <c r="DE60" s="43">
        <v>7650956127.0500002</v>
      </c>
      <c r="DF60" s="43">
        <v>256900000</v>
      </c>
      <c r="DG60" s="43">
        <v>256900000</v>
      </c>
      <c r="DH60" s="43">
        <v>0</v>
      </c>
      <c r="DI60" s="43">
        <v>0</v>
      </c>
      <c r="DJ60" s="43">
        <v>0</v>
      </c>
      <c r="DK60" s="43">
        <v>0</v>
      </c>
      <c r="DL60" s="43">
        <v>0</v>
      </c>
      <c r="DM60" s="43">
        <v>0</v>
      </c>
      <c r="DN60" s="43">
        <v>0</v>
      </c>
      <c r="DO60" s="43">
        <v>0</v>
      </c>
      <c r="DP60" s="43">
        <v>0</v>
      </c>
      <c r="DQ60" s="43">
        <v>0</v>
      </c>
      <c r="DR60" s="43">
        <v>5283420089.0500002</v>
      </c>
      <c r="DS60" s="43">
        <v>103099888.7</v>
      </c>
      <c r="DT60" s="43">
        <v>0</v>
      </c>
      <c r="DU60" s="43">
        <v>5183831053.5500002</v>
      </c>
      <c r="DV60" s="43">
        <v>-56103639</v>
      </c>
      <c r="DW60" s="43">
        <v>52592785.799999952</v>
      </c>
      <c r="DX60" s="43">
        <v>0</v>
      </c>
      <c r="DY60" s="43">
        <v>0</v>
      </c>
      <c r="DZ60" s="43">
        <v>0</v>
      </c>
      <c r="EA60" s="43">
        <v>0</v>
      </c>
      <c r="EB60" s="43">
        <v>0</v>
      </c>
      <c r="EC60" s="43">
        <v>2110636038</v>
      </c>
      <c r="ED60" s="43">
        <v>2110636038</v>
      </c>
      <c r="EE60" s="43">
        <v>0</v>
      </c>
      <c r="EF60" s="43">
        <v>0</v>
      </c>
      <c r="EG60" s="51"/>
      <c r="EH60" s="51"/>
      <c r="EI60" s="51"/>
    </row>
    <row r="61" spans="1:139" ht="12.75" customHeight="1">
      <c r="A61" s="40" t="s">
        <v>168</v>
      </c>
      <c r="B61" s="41">
        <v>3002</v>
      </c>
      <c r="C61" s="42" t="s">
        <v>417</v>
      </c>
      <c r="D61" s="43">
        <v>1758129229.9100018</v>
      </c>
      <c r="E61" s="43">
        <v>3596249.72</v>
      </c>
      <c r="F61" s="43">
        <v>0</v>
      </c>
      <c r="G61" s="43">
        <v>4148114.81</v>
      </c>
      <c r="H61" s="43">
        <v>-551865.07999999996</v>
      </c>
      <c r="I61" s="43">
        <v>0</v>
      </c>
      <c r="J61" s="43">
        <v>0</v>
      </c>
      <c r="K61" s="43">
        <v>0</v>
      </c>
      <c r="L61" s="43">
        <v>0</v>
      </c>
      <c r="M61" s="43">
        <v>-0.01</v>
      </c>
      <c r="N61" s="43">
        <v>415529445.37000167</v>
      </c>
      <c r="O61" s="43">
        <v>19444112.199999999</v>
      </c>
      <c r="P61" s="43">
        <v>0</v>
      </c>
      <c r="Q61" s="43">
        <v>35638634.409999996</v>
      </c>
      <c r="R61" s="43">
        <v>347188039.28000164</v>
      </c>
      <c r="S61" s="43">
        <v>13258659.48</v>
      </c>
      <c r="T61" s="43">
        <v>0</v>
      </c>
      <c r="U61" s="43">
        <v>28454606.599999994</v>
      </c>
      <c r="V61" s="43">
        <v>0</v>
      </c>
      <c r="W61" s="43">
        <v>0</v>
      </c>
      <c r="X61" s="43">
        <v>0</v>
      </c>
      <c r="Y61" s="43">
        <v>0</v>
      </c>
      <c r="Z61" s="43">
        <v>288864.65000000002</v>
      </c>
      <c r="AA61" s="43">
        <v>28165741.949999996</v>
      </c>
      <c r="AB61" s="43">
        <v>26130399</v>
      </c>
      <c r="AC61" s="43">
        <v>0</v>
      </c>
      <c r="AD61" s="43">
        <v>0</v>
      </c>
      <c r="AE61" s="43">
        <v>26130399</v>
      </c>
      <c r="AF61" s="43">
        <v>0</v>
      </c>
      <c r="AG61" s="43">
        <v>786052031.81999993</v>
      </c>
      <c r="AH61" s="43">
        <v>340153202.88999999</v>
      </c>
      <c r="AI61" s="43">
        <v>139112.53</v>
      </c>
      <c r="AJ61" s="43">
        <v>193488489.5</v>
      </c>
      <c r="AK61" s="43">
        <v>125137714.36000001</v>
      </c>
      <c r="AL61" s="43">
        <v>127133512.54000001</v>
      </c>
      <c r="AM61" s="43">
        <v>0</v>
      </c>
      <c r="AN61" s="43">
        <v>139551470.44999999</v>
      </c>
      <c r="AO61" s="43">
        <v>49673495.61999999</v>
      </c>
      <c r="AP61" s="43">
        <v>6248167.6100000003</v>
      </c>
      <c r="AQ61" s="43">
        <v>0</v>
      </c>
      <c r="AR61" s="43">
        <v>0</v>
      </c>
      <c r="AS61" s="43">
        <v>141337232.41</v>
      </c>
      <c r="AT61" s="43">
        <v>-57707425.189999998</v>
      </c>
      <c r="AU61" s="43">
        <v>0</v>
      </c>
      <c r="AV61" s="43">
        <v>358815026.95000005</v>
      </c>
      <c r="AW61" s="43">
        <v>0</v>
      </c>
      <c r="AX61" s="43">
        <v>0</v>
      </c>
      <c r="AY61" s="43">
        <v>358815026.95000005</v>
      </c>
      <c r="AZ61" s="43">
        <v>0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69226690502.189987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64408918966.329979</v>
      </c>
      <c r="BR61" s="43">
        <v>0</v>
      </c>
      <c r="BS61" s="43">
        <v>0</v>
      </c>
      <c r="BT61" s="43">
        <v>0</v>
      </c>
      <c r="BU61" s="43">
        <v>64408918966.329979</v>
      </c>
      <c r="BV61" s="43">
        <v>0</v>
      </c>
      <c r="BW61" s="43">
        <v>0</v>
      </c>
      <c r="BX61" s="43">
        <v>0</v>
      </c>
      <c r="BY61" s="43">
        <v>0</v>
      </c>
      <c r="BZ61" s="43">
        <v>0</v>
      </c>
      <c r="CA61" s="43">
        <v>0</v>
      </c>
      <c r="CB61" s="43">
        <v>0</v>
      </c>
      <c r="CC61" s="43">
        <v>0</v>
      </c>
      <c r="CD61" s="43">
        <v>0</v>
      </c>
      <c r="CE61" s="43">
        <v>27168603.969999999</v>
      </c>
      <c r="CF61" s="43">
        <v>27168603.969999999</v>
      </c>
      <c r="CG61" s="43">
        <v>0</v>
      </c>
      <c r="CH61" s="43">
        <v>0</v>
      </c>
      <c r="CI61" s="43">
        <v>0</v>
      </c>
      <c r="CJ61" s="43">
        <v>4780720049.8399992</v>
      </c>
      <c r="CK61" s="43">
        <v>0</v>
      </c>
      <c r="CL61" s="43">
        <v>0</v>
      </c>
      <c r="CM61" s="43">
        <v>4746065684.3099995</v>
      </c>
      <c r="CN61" s="43">
        <v>0</v>
      </c>
      <c r="CO61" s="43">
        <v>0</v>
      </c>
      <c r="CP61" s="43">
        <v>34654365.530000001</v>
      </c>
      <c r="CQ61" s="43">
        <v>0</v>
      </c>
      <c r="CR61" s="43">
        <v>0</v>
      </c>
      <c r="CS61" s="43">
        <v>0</v>
      </c>
      <c r="CT61" s="43">
        <v>0</v>
      </c>
      <c r="CU61" s="43">
        <v>9882882.0500000007</v>
      </c>
      <c r="CV61" s="43">
        <v>9882882.0500000007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0</v>
      </c>
      <c r="DC61" s="43">
        <v>0</v>
      </c>
      <c r="DD61" s="43">
        <v>0</v>
      </c>
      <c r="DE61" s="43">
        <v>1085921054.49</v>
      </c>
      <c r="DF61" s="43">
        <v>78500000</v>
      </c>
      <c r="DG61" s="43">
        <v>78500000</v>
      </c>
      <c r="DH61" s="43">
        <v>0</v>
      </c>
      <c r="DI61" s="43">
        <v>0</v>
      </c>
      <c r="DJ61" s="43">
        <v>0</v>
      </c>
      <c r="DK61" s="43">
        <v>0</v>
      </c>
      <c r="DL61" s="43">
        <v>151553.21</v>
      </c>
      <c r="DM61" s="43">
        <v>0</v>
      </c>
      <c r="DN61" s="43">
        <v>0</v>
      </c>
      <c r="DO61" s="43">
        <v>0</v>
      </c>
      <c r="DP61" s="43">
        <v>0</v>
      </c>
      <c r="DQ61" s="43">
        <v>151553.21</v>
      </c>
      <c r="DR61" s="43">
        <v>789853575.13</v>
      </c>
      <c r="DS61" s="43">
        <v>28492601.240000002</v>
      </c>
      <c r="DT61" s="43">
        <v>0</v>
      </c>
      <c r="DU61" s="43">
        <v>640643336.17999995</v>
      </c>
      <c r="DV61" s="43">
        <v>0</v>
      </c>
      <c r="DW61" s="43">
        <v>120717637.71000001</v>
      </c>
      <c r="DX61" s="43">
        <v>0</v>
      </c>
      <c r="DY61" s="43">
        <v>0</v>
      </c>
      <c r="DZ61" s="43">
        <v>0</v>
      </c>
      <c r="EA61" s="43">
        <v>-5274414.84</v>
      </c>
      <c r="EB61" s="43">
        <v>-5274414.84</v>
      </c>
      <c r="EC61" s="43">
        <v>222690340.98999992</v>
      </c>
      <c r="ED61" s="43">
        <v>222690340.98999992</v>
      </c>
      <c r="EE61" s="43">
        <v>0</v>
      </c>
      <c r="EF61" s="43">
        <v>0</v>
      </c>
      <c r="EG61" s="51"/>
      <c r="EH61" s="51"/>
      <c r="EI61" s="51"/>
    </row>
    <row r="62" spans="1:139" ht="12.75" customHeight="1">
      <c r="A62" s="40" t="s">
        <v>171</v>
      </c>
      <c r="B62" s="41">
        <v>3003</v>
      </c>
      <c r="C62" s="42" t="s">
        <v>417</v>
      </c>
      <c r="D62" s="43">
        <v>10166108972.850126</v>
      </c>
      <c r="E62" s="43">
        <v>26996314.379999995</v>
      </c>
      <c r="F62" s="43">
        <v>0</v>
      </c>
      <c r="G62" s="43">
        <v>34037030.229999997</v>
      </c>
      <c r="H62" s="43">
        <v>-7040715.8499999996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2453128971.2101269</v>
      </c>
      <c r="O62" s="43">
        <v>74221470.780000016</v>
      </c>
      <c r="P62" s="43">
        <v>0</v>
      </c>
      <c r="Q62" s="43">
        <v>0</v>
      </c>
      <c r="R62" s="43">
        <v>2378810989.130127</v>
      </c>
      <c r="S62" s="43">
        <v>96511.299999952316</v>
      </c>
      <c r="T62" s="43">
        <v>0</v>
      </c>
      <c r="U62" s="43">
        <v>105926330.09999999</v>
      </c>
      <c r="V62" s="43">
        <v>0</v>
      </c>
      <c r="W62" s="43">
        <v>0</v>
      </c>
      <c r="X62" s="43">
        <v>0</v>
      </c>
      <c r="Y62" s="43">
        <v>0</v>
      </c>
      <c r="Z62" s="43">
        <v>841868.02</v>
      </c>
      <c r="AA62" s="43">
        <v>105084462.08</v>
      </c>
      <c r="AB62" s="43">
        <v>47348877.609999999</v>
      </c>
      <c r="AC62" s="43">
        <v>0</v>
      </c>
      <c r="AD62" s="43">
        <v>0</v>
      </c>
      <c r="AE62" s="43">
        <v>47348877.609999999</v>
      </c>
      <c r="AF62" s="43">
        <v>0</v>
      </c>
      <c r="AG62" s="43">
        <v>4896343455.6599998</v>
      </c>
      <c r="AH62" s="43">
        <v>2934830460.5999999</v>
      </c>
      <c r="AI62" s="43">
        <v>0</v>
      </c>
      <c r="AJ62" s="43">
        <v>504751767.69</v>
      </c>
      <c r="AK62" s="43">
        <v>945529630.6099999</v>
      </c>
      <c r="AL62" s="43">
        <v>511231596.75999999</v>
      </c>
      <c r="AM62" s="43">
        <v>0</v>
      </c>
      <c r="AN62" s="43">
        <v>1275912002.76</v>
      </c>
      <c r="AO62" s="43">
        <v>294286364.30000001</v>
      </c>
      <c r="AP62" s="43">
        <v>53599122.879999995</v>
      </c>
      <c r="AQ62" s="43">
        <v>0</v>
      </c>
      <c r="AR62" s="43">
        <v>0</v>
      </c>
      <c r="AS62" s="43">
        <v>1309077138.25</v>
      </c>
      <c r="AT62" s="43">
        <v>-381050622.67000002</v>
      </c>
      <c r="AU62" s="43">
        <v>0</v>
      </c>
      <c r="AV62" s="43">
        <v>1360453021.1299994</v>
      </c>
      <c r="AW62" s="43">
        <v>0</v>
      </c>
      <c r="AX62" s="43">
        <v>0</v>
      </c>
      <c r="AY62" s="43">
        <v>1360453021.1299994</v>
      </c>
      <c r="AZ62" s="43">
        <v>0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3">
        <v>0</v>
      </c>
      <c r="BG62" s="43">
        <v>0</v>
      </c>
      <c r="BH62" s="43">
        <v>357827637631.80988</v>
      </c>
      <c r="BI62" s="43">
        <v>5647615.6100000003</v>
      </c>
      <c r="BJ62" s="43">
        <v>0</v>
      </c>
      <c r="BK62" s="43">
        <v>9897444.3000000007</v>
      </c>
      <c r="BL62" s="43">
        <v>-4249828.6900000004</v>
      </c>
      <c r="BM62" s="43">
        <v>0</v>
      </c>
      <c r="BN62" s="43">
        <v>0</v>
      </c>
      <c r="BO62" s="43">
        <v>0</v>
      </c>
      <c r="BP62" s="43">
        <v>0</v>
      </c>
      <c r="BQ62" s="43">
        <v>333922503823.89978</v>
      </c>
      <c r="BR62" s="43">
        <v>0</v>
      </c>
      <c r="BS62" s="43">
        <v>0</v>
      </c>
      <c r="BT62" s="43">
        <v>0</v>
      </c>
      <c r="BU62" s="43">
        <v>333922503823.89978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0</v>
      </c>
      <c r="CB62" s="43">
        <v>0</v>
      </c>
      <c r="CC62" s="43">
        <v>0</v>
      </c>
      <c r="CD62" s="43">
        <v>0</v>
      </c>
      <c r="CE62" s="43">
        <v>50921674.030000001</v>
      </c>
      <c r="CF62" s="43">
        <v>50921674.030000001</v>
      </c>
      <c r="CG62" s="43">
        <v>0</v>
      </c>
      <c r="CH62" s="43">
        <v>0</v>
      </c>
      <c r="CI62" s="43">
        <v>0</v>
      </c>
      <c r="CJ62" s="43">
        <v>23706467975.279999</v>
      </c>
      <c r="CK62" s="43">
        <v>0</v>
      </c>
      <c r="CL62" s="43">
        <v>0</v>
      </c>
      <c r="CM62" s="43">
        <v>23455666367.219997</v>
      </c>
      <c r="CN62" s="43">
        <v>0</v>
      </c>
      <c r="CO62" s="43">
        <v>0</v>
      </c>
      <c r="CP62" s="43">
        <v>250801608.06</v>
      </c>
      <c r="CQ62" s="43">
        <v>0</v>
      </c>
      <c r="CR62" s="43">
        <v>0</v>
      </c>
      <c r="CS62" s="43">
        <v>0</v>
      </c>
      <c r="CT62" s="43">
        <v>0</v>
      </c>
      <c r="CU62" s="43">
        <v>129647351.89999998</v>
      </c>
      <c r="CV62" s="43">
        <v>129647351.89999998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12449191.09</v>
      </c>
      <c r="DC62" s="43">
        <v>0</v>
      </c>
      <c r="DD62" s="43">
        <v>12449191.09</v>
      </c>
      <c r="DE62" s="43">
        <v>11802445371.25</v>
      </c>
      <c r="DF62" s="43">
        <v>58000000</v>
      </c>
      <c r="DG62" s="43">
        <v>58000000</v>
      </c>
      <c r="DH62" s="43">
        <v>0</v>
      </c>
      <c r="DI62" s="43">
        <v>0</v>
      </c>
      <c r="DJ62" s="43">
        <v>0</v>
      </c>
      <c r="DK62" s="43">
        <v>0</v>
      </c>
      <c r="DL62" s="43">
        <v>44253852.039999999</v>
      </c>
      <c r="DM62" s="43">
        <v>0</v>
      </c>
      <c r="DN62" s="43">
        <v>0</v>
      </c>
      <c r="DO62" s="43">
        <v>0</v>
      </c>
      <c r="DP62" s="43">
        <v>0</v>
      </c>
      <c r="DQ62" s="43">
        <v>44253852.039999999</v>
      </c>
      <c r="DR62" s="43">
        <v>8674929758.7199993</v>
      </c>
      <c r="DS62" s="43">
        <v>615921416.36000001</v>
      </c>
      <c r="DT62" s="43">
        <v>0</v>
      </c>
      <c r="DU62" s="43">
        <v>7948198851.54</v>
      </c>
      <c r="DV62" s="43">
        <v>0</v>
      </c>
      <c r="DW62" s="43">
        <v>110809490.81999999</v>
      </c>
      <c r="DX62" s="43">
        <v>0</v>
      </c>
      <c r="DY62" s="43">
        <v>7926672.2599999905</v>
      </c>
      <c r="DZ62" s="43">
        <v>7926672.2599999905</v>
      </c>
      <c r="EA62" s="43">
        <v>0</v>
      </c>
      <c r="EB62" s="43">
        <v>0</v>
      </c>
      <c r="EC62" s="43">
        <v>3017335088.2300005</v>
      </c>
      <c r="ED62" s="43">
        <v>3017335088.2300005</v>
      </c>
      <c r="EE62" s="43">
        <v>0</v>
      </c>
      <c r="EF62" s="43">
        <v>0</v>
      </c>
      <c r="EG62" s="51"/>
      <c r="EH62" s="51"/>
      <c r="EI62" s="51"/>
    </row>
    <row r="63" spans="1:139" ht="12.75" customHeight="1">
      <c r="A63" s="40" t="s">
        <v>174</v>
      </c>
      <c r="B63" s="41">
        <v>3004</v>
      </c>
      <c r="C63" s="42" t="s">
        <v>417</v>
      </c>
      <c r="D63" s="43">
        <v>61920116534.459999</v>
      </c>
      <c r="E63" s="43">
        <v>120485913</v>
      </c>
      <c r="F63" s="43">
        <v>0</v>
      </c>
      <c r="G63" s="43">
        <v>187079481</v>
      </c>
      <c r="H63" s="43">
        <v>-66593568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6157358943</v>
      </c>
      <c r="O63" s="43">
        <v>1168500172</v>
      </c>
      <c r="P63" s="43">
        <v>0</v>
      </c>
      <c r="Q63" s="43">
        <v>132789937</v>
      </c>
      <c r="R63" s="43">
        <v>4791950680</v>
      </c>
      <c r="S63" s="43">
        <v>64118154</v>
      </c>
      <c r="T63" s="43">
        <v>0</v>
      </c>
      <c r="U63" s="43">
        <v>626199</v>
      </c>
      <c r="V63" s="43">
        <v>173576</v>
      </c>
      <c r="W63" s="43">
        <v>0</v>
      </c>
      <c r="X63" s="43">
        <v>0</v>
      </c>
      <c r="Y63" s="43">
        <v>0</v>
      </c>
      <c r="Z63" s="43">
        <v>450441</v>
      </c>
      <c r="AA63" s="43">
        <v>2182</v>
      </c>
      <c r="AB63" s="43">
        <v>96079049</v>
      </c>
      <c r="AC63" s="43">
        <v>2379656</v>
      </c>
      <c r="AD63" s="43">
        <v>0</v>
      </c>
      <c r="AE63" s="43">
        <v>93699393</v>
      </c>
      <c r="AF63" s="43">
        <v>0</v>
      </c>
      <c r="AG63" s="43">
        <v>53793707274.099998</v>
      </c>
      <c r="AH63" s="43">
        <v>3231008898</v>
      </c>
      <c r="AI63" s="43">
        <v>0</v>
      </c>
      <c r="AJ63" s="43">
        <v>49778963917</v>
      </c>
      <c r="AK63" s="43">
        <v>783217628.10000014</v>
      </c>
      <c r="AL63" s="43">
        <v>516831</v>
      </c>
      <c r="AM63" s="43">
        <v>0</v>
      </c>
      <c r="AN63" s="43">
        <v>1078287073</v>
      </c>
      <c r="AO63" s="43">
        <v>534651568</v>
      </c>
      <c r="AP63" s="43">
        <v>87760406</v>
      </c>
      <c r="AQ63" s="43">
        <v>0</v>
      </c>
      <c r="AR63" s="43">
        <v>3108</v>
      </c>
      <c r="AS63" s="43">
        <v>1339642637</v>
      </c>
      <c r="AT63" s="43">
        <v>-883770646</v>
      </c>
      <c r="AU63" s="43">
        <v>0</v>
      </c>
      <c r="AV63" s="43">
        <v>363045964</v>
      </c>
      <c r="AW63" s="43">
        <v>0</v>
      </c>
      <c r="AX63" s="43">
        <v>0</v>
      </c>
      <c r="AY63" s="43">
        <v>363045964</v>
      </c>
      <c r="AZ63" s="43">
        <v>310526119.36000001</v>
      </c>
      <c r="BA63" s="43">
        <v>7895351.3600000003</v>
      </c>
      <c r="BB63" s="43">
        <v>302630085</v>
      </c>
      <c r="BC63" s="43">
        <v>683</v>
      </c>
      <c r="BD63" s="43">
        <v>0</v>
      </c>
      <c r="BE63" s="43">
        <v>0</v>
      </c>
      <c r="BF63" s="43">
        <v>0</v>
      </c>
      <c r="BG63" s="43">
        <v>0</v>
      </c>
      <c r="BH63" s="43">
        <v>406984115381</v>
      </c>
      <c r="BI63" s="43">
        <v>207211474</v>
      </c>
      <c r="BJ63" s="43">
        <v>0</v>
      </c>
      <c r="BK63" s="43">
        <v>274027180</v>
      </c>
      <c r="BL63" s="43">
        <v>-66815706</v>
      </c>
      <c r="BM63" s="43">
        <v>0</v>
      </c>
      <c r="BN63" s="43">
        <v>0</v>
      </c>
      <c r="BO63" s="43">
        <v>0</v>
      </c>
      <c r="BP63" s="43">
        <v>0</v>
      </c>
      <c r="BQ63" s="43">
        <v>406163386603</v>
      </c>
      <c r="BR63" s="43">
        <v>0</v>
      </c>
      <c r="BS63" s="43">
        <v>0</v>
      </c>
      <c r="BT63" s="43">
        <v>0</v>
      </c>
      <c r="BU63" s="43">
        <v>406163386603</v>
      </c>
      <c r="BV63" s="43">
        <v>0</v>
      </c>
      <c r="BW63" s="43">
        <v>0</v>
      </c>
      <c r="BX63" s="43">
        <v>0</v>
      </c>
      <c r="BY63" s="43">
        <v>0</v>
      </c>
      <c r="BZ63" s="43">
        <v>0</v>
      </c>
      <c r="CA63" s="43">
        <v>0</v>
      </c>
      <c r="CB63" s="43">
        <v>0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3">
        <v>321993200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321993200</v>
      </c>
      <c r="CQ63" s="43">
        <v>0</v>
      </c>
      <c r="CR63" s="43">
        <v>0</v>
      </c>
      <c r="CS63" s="43">
        <v>0</v>
      </c>
      <c r="CT63" s="43">
        <v>0</v>
      </c>
      <c r="CU63" s="43">
        <v>291524104</v>
      </c>
      <c r="CV63" s="43">
        <v>291524104</v>
      </c>
      <c r="CW63" s="43">
        <v>0</v>
      </c>
      <c r="CX63" s="43">
        <v>0</v>
      </c>
      <c r="CY63" s="43">
        <v>0</v>
      </c>
      <c r="CZ63" s="43">
        <v>0</v>
      </c>
      <c r="DA63" s="43">
        <v>0</v>
      </c>
      <c r="DB63" s="43">
        <v>0</v>
      </c>
      <c r="DC63" s="43">
        <v>0</v>
      </c>
      <c r="DD63" s="43">
        <v>0</v>
      </c>
      <c r="DE63" s="43">
        <v>13019573085</v>
      </c>
      <c r="DF63" s="43">
        <v>430000000</v>
      </c>
      <c r="DG63" s="43">
        <v>430000000</v>
      </c>
      <c r="DH63" s="43">
        <v>0</v>
      </c>
      <c r="DI63" s="43">
        <v>0</v>
      </c>
      <c r="DJ63" s="43">
        <v>0</v>
      </c>
      <c r="DK63" s="43">
        <v>0</v>
      </c>
      <c r="DL63" s="43">
        <v>152751617</v>
      </c>
      <c r="DM63" s="43">
        <v>0</v>
      </c>
      <c r="DN63" s="43">
        <v>0</v>
      </c>
      <c r="DO63" s="43">
        <v>152751617</v>
      </c>
      <c r="DP63" s="43">
        <v>0</v>
      </c>
      <c r="DQ63" s="43">
        <v>0</v>
      </c>
      <c r="DR63" s="43">
        <v>8754851699</v>
      </c>
      <c r="DS63" s="43">
        <v>1041970688</v>
      </c>
      <c r="DT63" s="43">
        <v>1129854945</v>
      </c>
      <c r="DU63" s="43">
        <v>4138914839</v>
      </c>
      <c r="DV63" s="43">
        <v>432903492</v>
      </c>
      <c r="DW63" s="43">
        <v>2051261680</v>
      </c>
      <c r="DX63" s="43">
        <v>-40053945</v>
      </c>
      <c r="DY63" s="43">
        <v>144010441</v>
      </c>
      <c r="DZ63" s="43">
        <v>144010441</v>
      </c>
      <c r="EA63" s="43">
        <v>0</v>
      </c>
      <c r="EB63" s="43">
        <v>0</v>
      </c>
      <c r="EC63" s="43">
        <v>3537959328</v>
      </c>
      <c r="ED63" s="43">
        <v>3537959328</v>
      </c>
      <c r="EE63" s="43">
        <v>0</v>
      </c>
      <c r="EF63" s="43">
        <v>0</v>
      </c>
      <c r="EG63" s="51"/>
      <c r="EH63" s="51"/>
      <c r="EI63" s="51"/>
    </row>
    <row r="64" spans="1:139" ht="12.75" customHeight="1">
      <c r="A64" s="40" t="s">
        <v>16</v>
      </c>
      <c r="B64" s="41">
        <v>3005</v>
      </c>
      <c r="C64" s="42" t="s">
        <v>417</v>
      </c>
      <c r="D64" s="43">
        <v>1234506218.060008</v>
      </c>
      <c r="E64" s="43">
        <v>16930503.23</v>
      </c>
      <c r="F64" s="43">
        <v>0</v>
      </c>
      <c r="G64" s="43">
        <v>16930503.23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207741607.270008</v>
      </c>
      <c r="O64" s="43">
        <v>128489337.72999999</v>
      </c>
      <c r="P64" s="43">
        <v>0</v>
      </c>
      <c r="Q64" s="43">
        <v>0</v>
      </c>
      <c r="R64" s="43">
        <v>78979177.450000018</v>
      </c>
      <c r="S64" s="43">
        <v>273092.09000800003</v>
      </c>
      <c r="T64" s="43">
        <v>0</v>
      </c>
      <c r="U64" s="43">
        <v>3052428.37</v>
      </c>
      <c r="V64" s="43">
        <v>2146250</v>
      </c>
      <c r="W64" s="43">
        <v>0</v>
      </c>
      <c r="X64" s="43">
        <v>0</v>
      </c>
      <c r="Y64" s="43">
        <v>678021.33</v>
      </c>
      <c r="Z64" s="43">
        <v>228157.04</v>
      </c>
      <c r="AA64" s="43">
        <v>0</v>
      </c>
      <c r="AB64" s="43">
        <v>18705897.625</v>
      </c>
      <c r="AC64" s="43">
        <v>0</v>
      </c>
      <c r="AD64" s="43">
        <v>0</v>
      </c>
      <c r="AE64" s="43">
        <v>18705897.625</v>
      </c>
      <c r="AF64" s="43">
        <v>0</v>
      </c>
      <c r="AG64" s="43">
        <v>892515504.06000006</v>
      </c>
      <c r="AH64" s="43">
        <v>815010008.53000009</v>
      </c>
      <c r="AI64" s="43">
        <v>0</v>
      </c>
      <c r="AJ64" s="43">
        <v>6790623.2400000002</v>
      </c>
      <c r="AK64" s="43">
        <v>70714872.289999992</v>
      </c>
      <c r="AL64" s="43">
        <v>0</v>
      </c>
      <c r="AM64" s="43">
        <v>0</v>
      </c>
      <c r="AN64" s="43">
        <v>79200280.394999981</v>
      </c>
      <c r="AO64" s="43">
        <v>17621696.465</v>
      </c>
      <c r="AP64" s="43">
        <v>6020180.6399999997</v>
      </c>
      <c r="AQ64" s="43">
        <v>0</v>
      </c>
      <c r="AR64" s="43">
        <v>0</v>
      </c>
      <c r="AS64" s="43">
        <v>154209753.44999999</v>
      </c>
      <c r="AT64" s="43">
        <v>-98651350.159999996</v>
      </c>
      <c r="AU64" s="43">
        <v>0</v>
      </c>
      <c r="AV64" s="43">
        <v>8025228.7400000002</v>
      </c>
      <c r="AW64" s="43">
        <v>0</v>
      </c>
      <c r="AX64" s="43">
        <v>0</v>
      </c>
      <c r="AY64" s="43">
        <v>8025228.7400000002</v>
      </c>
      <c r="AZ64" s="43">
        <v>6499477.4000000004</v>
      </c>
      <c r="BA64" s="43">
        <v>6499477.4000000004</v>
      </c>
      <c r="BB64" s="43">
        <v>0</v>
      </c>
      <c r="BC64" s="43">
        <v>0</v>
      </c>
      <c r="BD64" s="43">
        <v>1835290.97</v>
      </c>
      <c r="BE64" s="43">
        <v>0</v>
      </c>
      <c r="BF64" s="43">
        <v>0</v>
      </c>
      <c r="BG64" s="43">
        <v>1835290.97</v>
      </c>
      <c r="BH64" s="43">
        <v>14557166243.1</v>
      </c>
      <c r="BI64" s="43">
        <v>52042513.840000004</v>
      </c>
      <c r="BJ64" s="43">
        <v>0</v>
      </c>
      <c r="BK64" s="43">
        <v>52042513.840000004</v>
      </c>
      <c r="BL64" s="43">
        <v>0</v>
      </c>
      <c r="BM64" s="43">
        <v>0</v>
      </c>
      <c r="BN64" s="43">
        <v>0</v>
      </c>
      <c r="BO64" s="43">
        <v>0</v>
      </c>
      <c r="BP64" s="43">
        <v>0</v>
      </c>
      <c r="BQ64" s="43">
        <v>14342022976.58</v>
      </c>
      <c r="BR64" s="43">
        <v>0</v>
      </c>
      <c r="BS64" s="43">
        <v>0</v>
      </c>
      <c r="BT64" s="43">
        <v>0</v>
      </c>
      <c r="BU64" s="43">
        <v>14342022976.58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0</v>
      </c>
      <c r="CB64" s="43">
        <v>0</v>
      </c>
      <c r="CC64" s="43">
        <v>0</v>
      </c>
      <c r="CD64" s="43">
        <v>0</v>
      </c>
      <c r="CE64" s="43">
        <v>57016.55</v>
      </c>
      <c r="CF64" s="43">
        <v>57016.55</v>
      </c>
      <c r="CG64" s="43">
        <v>0</v>
      </c>
      <c r="CH64" s="43">
        <v>0</v>
      </c>
      <c r="CI64" s="43">
        <v>0</v>
      </c>
      <c r="CJ64" s="43">
        <v>148349561.76999998</v>
      </c>
      <c r="CK64" s="43">
        <v>0</v>
      </c>
      <c r="CL64" s="43">
        <v>0</v>
      </c>
      <c r="CM64" s="43">
        <v>62657567.370000005</v>
      </c>
      <c r="CN64" s="43">
        <v>0</v>
      </c>
      <c r="CO64" s="43">
        <v>0</v>
      </c>
      <c r="CP64" s="43">
        <v>85691994.399999991</v>
      </c>
      <c r="CQ64" s="43">
        <v>0</v>
      </c>
      <c r="CR64" s="43">
        <v>0</v>
      </c>
      <c r="CS64" s="43">
        <v>0</v>
      </c>
      <c r="CT64" s="43">
        <v>0</v>
      </c>
      <c r="CU64" s="43">
        <v>14694174.359999999</v>
      </c>
      <c r="CV64" s="43">
        <v>14694174.359999999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</v>
      </c>
      <c r="DC64" s="43">
        <v>0</v>
      </c>
      <c r="DD64" s="43">
        <v>0</v>
      </c>
      <c r="DE64" s="43">
        <v>1016642026.4444909</v>
      </c>
      <c r="DF64" s="43">
        <v>30000000</v>
      </c>
      <c r="DG64" s="43">
        <v>30000000</v>
      </c>
      <c r="DH64" s="43">
        <v>0</v>
      </c>
      <c r="DI64" s="43">
        <v>0</v>
      </c>
      <c r="DJ64" s="43">
        <v>0</v>
      </c>
      <c r="DK64" s="43">
        <v>0</v>
      </c>
      <c r="DL64" s="43">
        <v>0</v>
      </c>
      <c r="DM64" s="43">
        <v>0</v>
      </c>
      <c r="DN64" s="43">
        <v>0</v>
      </c>
      <c r="DO64" s="43">
        <v>0</v>
      </c>
      <c r="DP64" s="43">
        <v>0</v>
      </c>
      <c r="DQ64" s="43">
        <v>0</v>
      </c>
      <c r="DR64" s="43">
        <v>640832123.65999997</v>
      </c>
      <c r="DS64" s="43">
        <v>6000000</v>
      </c>
      <c r="DT64" s="43">
        <v>0</v>
      </c>
      <c r="DU64" s="43">
        <v>640440976.67999995</v>
      </c>
      <c r="DV64" s="43">
        <v>0</v>
      </c>
      <c r="DW64" s="43">
        <v>0</v>
      </c>
      <c r="DX64" s="43">
        <v>-5608853.0199999996</v>
      </c>
      <c r="DY64" s="43">
        <v>0.02</v>
      </c>
      <c r="DZ64" s="43">
        <v>0.02</v>
      </c>
      <c r="EA64" s="43">
        <v>0</v>
      </c>
      <c r="EB64" s="43">
        <v>0</v>
      </c>
      <c r="EC64" s="43">
        <v>345809902.76449102</v>
      </c>
      <c r="ED64" s="43">
        <v>345809902.76449102</v>
      </c>
      <c r="EE64" s="43">
        <v>0</v>
      </c>
      <c r="EF64" s="43">
        <v>0</v>
      </c>
      <c r="EG64" s="51"/>
      <c r="EH64" s="51"/>
      <c r="EI64" s="51"/>
    </row>
    <row r="65" spans="1:139" ht="12.75" customHeight="1">
      <c r="A65" s="40" t="s">
        <v>179</v>
      </c>
      <c r="B65" s="41">
        <v>3006</v>
      </c>
      <c r="C65" s="42" t="s">
        <v>417</v>
      </c>
      <c r="D65" s="43">
        <v>15925483332.83</v>
      </c>
      <c r="E65" s="43">
        <v>98693038.430000007</v>
      </c>
      <c r="F65" s="43">
        <v>-0.03</v>
      </c>
      <c r="G65" s="43">
        <v>179868086.86000001</v>
      </c>
      <c r="H65" s="43">
        <v>-81175048.400000006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4546049154.7700005</v>
      </c>
      <c r="O65" s="43">
        <v>951740769.70000005</v>
      </c>
      <c r="P65" s="43">
        <v>0</v>
      </c>
      <c r="Q65" s="43">
        <v>0</v>
      </c>
      <c r="R65" s="43">
        <v>3594308385.0700002</v>
      </c>
      <c r="S65" s="43">
        <v>0</v>
      </c>
      <c r="T65" s="43">
        <v>0</v>
      </c>
      <c r="U65" s="43">
        <v>124775121.78999999</v>
      </c>
      <c r="V65" s="43">
        <v>4745658.6500000004</v>
      </c>
      <c r="W65" s="43">
        <v>0</v>
      </c>
      <c r="X65" s="43">
        <v>42232</v>
      </c>
      <c r="Y65" s="43">
        <v>0</v>
      </c>
      <c r="Z65" s="43">
        <v>5654742.4000000004</v>
      </c>
      <c r="AA65" s="43">
        <v>114332488.73999999</v>
      </c>
      <c r="AB65" s="43">
        <v>200734303.71000001</v>
      </c>
      <c r="AC65" s="43">
        <v>30794.68</v>
      </c>
      <c r="AD65" s="43">
        <v>0</v>
      </c>
      <c r="AE65" s="43">
        <v>200703509.03</v>
      </c>
      <c r="AF65" s="43">
        <v>0</v>
      </c>
      <c r="AG65" s="43">
        <v>8015128547.9199991</v>
      </c>
      <c r="AH65" s="43">
        <v>5718886671.9399996</v>
      </c>
      <c r="AI65" s="43">
        <v>0</v>
      </c>
      <c r="AJ65" s="43">
        <v>1695810949.7</v>
      </c>
      <c r="AK65" s="43">
        <v>600430926.27999997</v>
      </c>
      <c r="AL65" s="43">
        <v>0</v>
      </c>
      <c r="AM65" s="43">
        <v>0</v>
      </c>
      <c r="AN65" s="43">
        <v>1442173953.0799999</v>
      </c>
      <c r="AO65" s="43">
        <v>508109588.50999999</v>
      </c>
      <c r="AP65" s="43">
        <v>109213285.15000001</v>
      </c>
      <c r="AQ65" s="43">
        <v>0</v>
      </c>
      <c r="AR65" s="43">
        <v>0</v>
      </c>
      <c r="AS65" s="43">
        <v>1790263046.1500001</v>
      </c>
      <c r="AT65" s="43">
        <v>-965411966.73000002</v>
      </c>
      <c r="AU65" s="43">
        <v>0</v>
      </c>
      <c r="AV65" s="43">
        <v>571745085.67999995</v>
      </c>
      <c r="AW65" s="43">
        <v>0</v>
      </c>
      <c r="AX65" s="43">
        <v>0</v>
      </c>
      <c r="AY65" s="43">
        <v>571745085.67999995</v>
      </c>
      <c r="AZ65" s="43">
        <v>812248644.36000001</v>
      </c>
      <c r="BA65" s="43">
        <v>26906222.25</v>
      </c>
      <c r="BB65" s="43">
        <v>785342422.11000001</v>
      </c>
      <c r="BC65" s="43">
        <v>0</v>
      </c>
      <c r="BD65" s="43">
        <v>113935483.09</v>
      </c>
      <c r="BE65" s="43">
        <v>0</v>
      </c>
      <c r="BF65" s="43">
        <v>0</v>
      </c>
      <c r="BG65" s="43">
        <v>113935483.09</v>
      </c>
      <c r="BH65" s="43">
        <v>492911997284.88</v>
      </c>
      <c r="BI65" s="43">
        <v>197270610.66</v>
      </c>
      <c r="BJ65" s="43">
        <v>0</v>
      </c>
      <c r="BK65" s="43">
        <v>458998902.81999999</v>
      </c>
      <c r="BL65" s="43">
        <v>-261728292.16</v>
      </c>
      <c r="BM65" s="43">
        <v>0</v>
      </c>
      <c r="BN65" s="43">
        <v>0</v>
      </c>
      <c r="BO65" s="43">
        <v>0</v>
      </c>
      <c r="BP65" s="43">
        <v>0</v>
      </c>
      <c r="BQ65" s="43">
        <v>447488622556.31</v>
      </c>
      <c r="BR65" s="43">
        <v>0</v>
      </c>
      <c r="BS65" s="43">
        <v>0</v>
      </c>
      <c r="BT65" s="43">
        <v>0</v>
      </c>
      <c r="BU65" s="43">
        <v>447488622556.31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44883241181.780006</v>
      </c>
      <c r="CK65" s="43">
        <v>0</v>
      </c>
      <c r="CL65" s="43">
        <v>0</v>
      </c>
      <c r="CM65" s="43">
        <v>44608692300.94001</v>
      </c>
      <c r="CN65" s="43">
        <v>0</v>
      </c>
      <c r="CO65" s="43">
        <v>0</v>
      </c>
      <c r="CP65" s="43">
        <v>274548880.83999997</v>
      </c>
      <c r="CQ65" s="43">
        <v>60884537.729999997</v>
      </c>
      <c r="CR65" s="43">
        <v>0</v>
      </c>
      <c r="CS65" s="43">
        <v>0</v>
      </c>
      <c r="CT65" s="43">
        <v>60884537.729999997</v>
      </c>
      <c r="CU65" s="43">
        <v>281978398.39999998</v>
      </c>
      <c r="CV65" s="43">
        <v>281978398.39999998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  <c r="DE65" s="43">
        <v>12051863687.82</v>
      </c>
      <c r="DF65" s="43">
        <v>180000000</v>
      </c>
      <c r="DG65" s="43">
        <v>180000000</v>
      </c>
      <c r="DH65" s="43">
        <v>0</v>
      </c>
      <c r="DI65" s="43">
        <v>0</v>
      </c>
      <c r="DJ65" s="43">
        <v>0</v>
      </c>
      <c r="DK65" s="43">
        <v>0</v>
      </c>
      <c r="DL65" s="43">
        <v>-116757151.55</v>
      </c>
      <c r="DM65" s="43">
        <v>0</v>
      </c>
      <c r="DN65" s="43">
        <v>0</v>
      </c>
      <c r="DO65" s="43">
        <v>0</v>
      </c>
      <c r="DP65" s="43">
        <v>0</v>
      </c>
      <c r="DQ65" s="43">
        <v>-116757151.55</v>
      </c>
      <c r="DR65" s="43">
        <v>8136979950.2900009</v>
      </c>
      <c r="DS65" s="43">
        <v>361539901.38</v>
      </c>
      <c r="DT65" s="43">
        <v>11494.08</v>
      </c>
      <c r="DU65" s="43">
        <v>7814720401.2200003</v>
      </c>
      <c r="DV65" s="43">
        <v>0</v>
      </c>
      <c r="DW65" s="43">
        <v>138270317.59999999</v>
      </c>
      <c r="DX65" s="43">
        <v>-177562163.99000001</v>
      </c>
      <c r="DY65" s="43">
        <v>0</v>
      </c>
      <c r="DZ65" s="43">
        <v>0</v>
      </c>
      <c r="EA65" s="43">
        <v>0</v>
      </c>
      <c r="EB65" s="43">
        <v>0</v>
      </c>
      <c r="EC65" s="43">
        <v>3851640889.0799999</v>
      </c>
      <c r="ED65" s="43">
        <v>3851640889.0799999</v>
      </c>
      <c r="EE65" s="43">
        <v>0</v>
      </c>
      <c r="EF65" s="43">
        <v>0</v>
      </c>
      <c r="EG65" s="51"/>
      <c r="EH65" s="51"/>
      <c r="EI65" s="51"/>
    </row>
    <row r="66" spans="1:139" ht="12.75" customHeight="1">
      <c r="A66" s="40" t="s">
        <v>182</v>
      </c>
      <c r="B66" s="41">
        <v>3007</v>
      </c>
      <c r="C66" s="42" t="s">
        <v>417</v>
      </c>
      <c r="D66" s="43">
        <v>605903898.73000014</v>
      </c>
      <c r="E66" s="43">
        <v>1296108.33</v>
      </c>
      <c r="F66" s="43">
        <v>0</v>
      </c>
      <c r="G66" s="43">
        <v>1296108.33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221213235.47</v>
      </c>
      <c r="O66" s="43">
        <v>50677166.280000001</v>
      </c>
      <c r="P66" s="43">
        <v>0</v>
      </c>
      <c r="Q66" s="43">
        <v>0</v>
      </c>
      <c r="R66" s="43">
        <v>170482553.81999999</v>
      </c>
      <c r="S66" s="43">
        <v>53515.37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27507033.400000002</v>
      </c>
      <c r="AC66" s="43">
        <v>8334572.46</v>
      </c>
      <c r="AD66" s="43">
        <v>0</v>
      </c>
      <c r="AE66" s="43">
        <v>19172460.940000001</v>
      </c>
      <c r="AF66" s="43">
        <v>0</v>
      </c>
      <c r="AG66" s="43">
        <v>258035677.25</v>
      </c>
      <c r="AH66" s="43">
        <v>166287064.30000001</v>
      </c>
      <c r="AI66" s="43">
        <v>0</v>
      </c>
      <c r="AJ66" s="43">
        <v>268302.22000000003</v>
      </c>
      <c r="AK66" s="43">
        <v>74786583.310000002</v>
      </c>
      <c r="AL66" s="43">
        <v>0</v>
      </c>
      <c r="AM66" s="43">
        <v>16693727.42</v>
      </c>
      <c r="AN66" s="43">
        <v>29729570.820000004</v>
      </c>
      <c r="AO66" s="43">
        <v>14150615.310000001</v>
      </c>
      <c r="AP66" s="43">
        <v>3953932</v>
      </c>
      <c r="AQ66" s="43">
        <v>0</v>
      </c>
      <c r="AR66" s="43">
        <v>0</v>
      </c>
      <c r="AS66" s="43">
        <v>18297198.82</v>
      </c>
      <c r="AT66" s="43">
        <v>-6672175.3099999996</v>
      </c>
      <c r="AU66" s="43">
        <v>0</v>
      </c>
      <c r="AV66" s="43">
        <v>51674926.259999998</v>
      </c>
      <c r="AW66" s="43">
        <v>0</v>
      </c>
      <c r="AX66" s="43">
        <v>0</v>
      </c>
      <c r="AY66" s="43">
        <v>51674926.259999998</v>
      </c>
      <c r="AZ66" s="43">
        <v>12754470.76</v>
      </c>
      <c r="BA66" s="43">
        <v>11585963.289999999</v>
      </c>
      <c r="BB66" s="43">
        <v>0</v>
      </c>
      <c r="BC66" s="43">
        <v>1168507.47</v>
      </c>
      <c r="BD66" s="43">
        <v>3692876.44</v>
      </c>
      <c r="BE66" s="43">
        <v>0</v>
      </c>
      <c r="BF66" s="43">
        <v>0</v>
      </c>
      <c r="BG66" s="43">
        <v>3692876.44</v>
      </c>
      <c r="BH66" s="43">
        <v>12303275172.440001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11569430679.01</v>
      </c>
      <c r="BR66" s="43">
        <v>0</v>
      </c>
      <c r="BS66" s="43">
        <v>0</v>
      </c>
      <c r="BT66" s="43">
        <v>0</v>
      </c>
      <c r="BU66" s="43">
        <v>11569430679.01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730942055.01000011</v>
      </c>
      <c r="CK66" s="43">
        <v>0</v>
      </c>
      <c r="CL66" s="43">
        <v>0</v>
      </c>
      <c r="CM66" s="43">
        <v>671730180.94000006</v>
      </c>
      <c r="CN66" s="43">
        <v>0</v>
      </c>
      <c r="CO66" s="43">
        <v>0</v>
      </c>
      <c r="CP66" s="43">
        <v>59211874.07</v>
      </c>
      <c r="CQ66" s="43">
        <v>0</v>
      </c>
      <c r="CR66" s="43">
        <v>0</v>
      </c>
      <c r="CS66" s="43">
        <v>0</v>
      </c>
      <c r="CT66" s="43">
        <v>0</v>
      </c>
      <c r="CU66" s="43">
        <v>2902438.42</v>
      </c>
      <c r="CV66" s="43">
        <v>2902438.42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  <c r="DE66" s="43">
        <v>818364476.95000005</v>
      </c>
      <c r="DF66" s="43">
        <v>74874831.159999996</v>
      </c>
      <c r="DG66" s="43">
        <v>74874831.159999996</v>
      </c>
      <c r="DH66" s="43">
        <v>0</v>
      </c>
      <c r="DI66" s="43">
        <v>0</v>
      </c>
      <c r="DJ66" s="43">
        <v>0</v>
      </c>
      <c r="DK66" s="43">
        <v>0</v>
      </c>
      <c r="DL66" s="43">
        <v>4863698.3099999996</v>
      </c>
      <c r="DM66" s="43">
        <v>4863698.3099999996</v>
      </c>
      <c r="DN66" s="43">
        <v>0</v>
      </c>
      <c r="DO66" s="43">
        <v>0</v>
      </c>
      <c r="DP66" s="43">
        <v>0</v>
      </c>
      <c r="DQ66" s="43">
        <v>0</v>
      </c>
      <c r="DR66" s="43">
        <v>632797325.53999996</v>
      </c>
      <c r="DS66" s="43">
        <v>43261470.509999998</v>
      </c>
      <c r="DT66" s="43">
        <v>0</v>
      </c>
      <c r="DU66" s="43">
        <v>126924623.31</v>
      </c>
      <c r="DV66" s="43">
        <v>0</v>
      </c>
      <c r="DW66" s="43">
        <v>476364524.80000001</v>
      </c>
      <c r="DX66" s="43">
        <v>-13753293.08</v>
      </c>
      <c r="DY66" s="43">
        <v>0</v>
      </c>
      <c r="DZ66" s="43">
        <v>0</v>
      </c>
      <c r="EA66" s="43">
        <v>0</v>
      </c>
      <c r="EB66" s="43">
        <v>0</v>
      </c>
      <c r="EC66" s="43">
        <v>105828621.94</v>
      </c>
      <c r="ED66" s="43">
        <v>105828621.94</v>
      </c>
      <c r="EE66" s="43">
        <v>0</v>
      </c>
      <c r="EF66" s="43">
        <v>0</v>
      </c>
      <c r="EG66" s="51"/>
      <c r="EH66" s="51"/>
      <c r="EI66" s="51"/>
    </row>
    <row r="67" spans="1:139" ht="12.75" customHeight="1">
      <c r="A67" s="40" t="s">
        <v>184</v>
      </c>
      <c r="B67" s="41">
        <v>3008</v>
      </c>
      <c r="C67" s="42" t="s">
        <v>417</v>
      </c>
      <c r="D67" s="43">
        <v>2005976885.4099991</v>
      </c>
      <c r="E67" s="43">
        <v>32251713.350000001</v>
      </c>
      <c r="F67" s="43">
        <v>0</v>
      </c>
      <c r="G67" s="43">
        <v>41451121.719999999</v>
      </c>
      <c r="H67" s="43">
        <v>-9199408.3699999992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599467800.2099992</v>
      </c>
      <c r="O67" s="43">
        <v>235148552.01000038</v>
      </c>
      <c r="P67" s="43">
        <v>0</v>
      </c>
      <c r="Q67" s="43">
        <v>0</v>
      </c>
      <c r="R67" s="43">
        <v>364319248.1999988</v>
      </c>
      <c r="S67" s="43">
        <v>0</v>
      </c>
      <c r="T67" s="43">
        <v>0</v>
      </c>
      <c r="U67" s="43">
        <v>7147808.2700000182</v>
      </c>
      <c r="V67" s="43">
        <v>0</v>
      </c>
      <c r="W67" s="43">
        <v>0</v>
      </c>
      <c r="X67" s="43">
        <v>0</v>
      </c>
      <c r="Y67" s="43">
        <v>0</v>
      </c>
      <c r="Z67" s="43">
        <v>642002.07000002265</v>
      </c>
      <c r="AA67" s="43">
        <v>6505806.1999999955</v>
      </c>
      <c r="AB67" s="43">
        <v>26641433.809999991</v>
      </c>
      <c r="AC67" s="43">
        <v>23277.54999999993</v>
      </c>
      <c r="AD67" s="43">
        <v>0</v>
      </c>
      <c r="AE67" s="43">
        <v>26618156.25999999</v>
      </c>
      <c r="AF67" s="43">
        <v>0</v>
      </c>
      <c r="AG67" s="43">
        <v>1094866284.1700001</v>
      </c>
      <c r="AH67" s="43">
        <v>853324349.50999987</v>
      </c>
      <c r="AI67" s="43">
        <v>0</v>
      </c>
      <c r="AJ67" s="43">
        <v>85105687.829999909</v>
      </c>
      <c r="AK67" s="43">
        <v>135498734.93000019</v>
      </c>
      <c r="AL67" s="43">
        <v>0</v>
      </c>
      <c r="AM67" s="43">
        <v>20937511.899999999</v>
      </c>
      <c r="AN67" s="43">
        <v>93850095.939999923</v>
      </c>
      <c r="AO67" s="43">
        <v>79594773.389999926</v>
      </c>
      <c r="AP67" s="43">
        <v>14255322.549999997</v>
      </c>
      <c r="AQ67" s="43">
        <v>0</v>
      </c>
      <c r="AR67" s="43">
        <v>0</v>
      </c>
      <c r="AS67" s="43">
        <v>101429174.13</v>
      </c>
      <c r="AT67" s="43">
        <v>-101429174.13000001</v>
      </c>
      <c r="AU67" s="43">
        <v>0</v>
      </c>
      <c r="AV67" s="43">
        <v>150496845.95000005</v>
      </c>
      <c r="AW67" s="43">
        <v>0</v>
      </c>
      <c r="AX67" s="43">
        <v>0</v>
      </c>
      <c r="AY67" s="43">
        <v>150496845.95000005</v>
      </c>
      <c r="AZ67" s="43">
        <v>0</v>
      </c>
      <c r="BA67" s="43">
        <v>0</v>
      </c>
      <c r="BB67" s="43">
        <v>0</v>
      </c>
      <c r="BC67" s="43">
        <v>0</v>
      </c>
      <c r="BD67" s="43">
        <v>1254903.709999999</v>
      </c>
      <c r="BE67" s="43">
        <v>0</v>
      </c>
      <c r="BF67" s="43">
        <v>0</v>
      </c>
      <c r="BG67" s="43">
        <v>1254903.709999999</v>
      </c>
      <c r="BH67" s="43">
        <v>41977779479.889999</v>
      </c>
      <c r="BI67" s="43">
        <v>28486978.590000004</v>
      </c>
      <c r="BJ67" s="43">
        <v>0</v>
      </c>
      <c r="BK67" s="43">
        <v>31433461.920000002</v>
      </c>
      <c r="BL67" s="43">
        <v>-2946483.33</v>
      </c>
      <c r="BM67" s="43">
        <v>0</v>
      </c>
      <c r="BN67" s="43">
        <v>0</v>
      </c>
      <c r="BO67" s="43">
        <v>0</v>
      </c>
      <c r="BP67" s="43">
        <v>0</v>
      </c>
      <c r="BQ67" s="43">
        <v>40322652038.190002</v>
      </c>
      <c r="BR67" s="43">
        <v>0</v>
      </c>
      <c r="BS67" s="43">
        <v>0</v>
      </c>
      <c r="BT67" s="43">
        <v>0</v>
      </c>
      <c r="BU67" s="43">
        <v>40322652038.190002</v>
      </c>
      <c r="BV67" s="43">
        <v>0</v>
      </c>
      <c r="BW67" s="43">
        <v>0</v>
      </c>
      <c r="BX67" s="43">
        <v>0</v>
      </c>
      <c r="BY67" s="43">
        <v>0</v>
      </c>
      <c r="BZ67" s="43">
        <v>0</v>
      </c>
      <c r="CA67" s="43">
        <v>0</v>
      </c>
      <c r="CB67" s="43">
        <v>0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1599170576.8499997</v>
      </c>
      <c r="CK67" s="43">
        <v>0</v>
      </c>
      <c r="CL67" s="43">
        <v>0</v>
      </c>
      <c r="CM67" s="43">
        <v>1244416517.8399997</v>
      </c>
      <c r="CN67" s="43">
        <v>313764143.47000003</v>
      </c>
      <c r="CO67" s="43">
        <v>0</v>
      </c>
      <c r="CP67" s="43">
        <v>40989915.539999999</v>
      </c>
      <c r="CQ67" s="43">
        <v>0</v>
      </c>
      <c r="CR67" s="43">
        <v>0</v>
      </c>
      <c r="CS67" s="43">
        <v>0</v>
      </c>
      <c r="CT67" s="43">
        <v>0</v>
      </c>
      <c r="CU67" s="43">
        <v>27469886.26000002</v>
      </c>
      <c r="CV67" s="43">
        <v>27469886.26000002</v>
      </c>
      <c r="CW67" s="43">
        <v>0</v>
      </c>
      <c r="CX67" s="43">
        <v>0</v>
      </c>
      <c r="CY67" s="43">
        <v>0</v>
      </c>
      <c r="CZ67" s="43">
        <v>0</v>
      </c>
      <c r="DA67" s="43">
        <v>0</v>
      </c>
      <c r="DB67" s="43">
        <v>0</v>
      </c>
      <c r="DC67" s="43">
        <v>0</v>
      </c>
      <c r="DD67" s="43">
        <v>0</v>
      </c>
      <c r="DE67" s="43">
        <v>1557411067.6699834</v>
      </c>
      <c r="DF67" s="43">
        <v>650122003</v>
      </c>
      <c r="DG67" s="43">
        <v>650122003</v>
      </c>
      <c r="DH67" s="43">
        <v>0</v>
      </c>
      <c r="DI67" s="43">
        <v>0</v>
      </c>
      <c r="DJ67" s="43">
        <v>0</v>
      </c>
      <c r="DK67" s="43">
        <v>0</v>
      </c>
      <c r="DL67" s="43">
        <v>0</v>
      </c>
      <c r="DM67" s="43">
        <v>0</v>
      </c>
      <c r="DN67" s="43">
        <v>0</v>
      </c>
      <c r="DO67" s="43">
        <v>0</v>
      </c>
      <c r="DP67" s="43">
        <v>0</v>
      </c>
      <c r="DQ67" s="43">
        <v>0</v>
      </c>
      <c r="DR67" s="43">
        <v>205686249.50999996</v>
      </c>
      <c r="DS67" s="43">
        <v>257696341.66</v>
      </c>
      <c r="DT67" s="43">
        <v>0</v>
      </c>
      <c r="DU67" s="43">
        <v>0</v>
      </c>
      <c r="DV67" s="43">
        <v>-26020550.980000019</v>
      </c>
      <c r="DW67" s="43">
        <v>-25989541.170000017</v>
      </c>
      <c r="DX67" s="43">
        <v>0</v>
      </c>
      <c r="DY67" s="43">
        <v>405045879.75000012</v>
      </c>
      <c r="DZ67" s="43">
        <v>405045879.75000012</v>
      </c>
      <c r="EA67" s="43">
        <v>-215656435.05999994</v>
      </c>
      <c r="EB67" s="43">
        <v>-215656435.05999994</v>
      </c>
      <c r="EC67" s="43">
        <v>512213370.46998298</v>
      </c>
      <c r="ED67" s="43">
        <v>512213370.46998298</v>
      </c>
      <c r="EE67" s="43">
        <v>0</v>
      </c>
      <c r="EF67" s="43">
        <v>0</v>
      </c>
      <c r="EG67" s="51"/>
      <c r="EH67" s="51"/>
      <c r="EI67" s="51"/>
    </row>
    <row r="68" spans="1:139" ht="12.75" customHeight="1">
      <c r="A68" s="40" t="s">
        <v>186</v>
      </c>
      <c r="B68" s="41">
        <v>3009</v>
      </c>
      <c r="C68" s="42" t="s">
        <v>417</v>
      </c>
      <c r="D68" s="43">
        <v>6032746472.4310884</v>
      </c>
      <c r="E68" s="43">
        <v>27655115</v>
      </c>
      <c r="F68" s="43">
        <v>0</v>
      </c>
      <c r="G68" s="43">
        <v>63863136</v>
      </c>
      <c r="H68" s="43">
        <v>-36208021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826166393.34507895</v>
      </c>
      <c r="O68" s="43">
        <v>727283258.90507889</v>
      </c>
      <c r="P68" s="43">
        <v>0</v>
      </c>
      <c r="Q68" s="43">
        <v>0</v>
      </c>
      <c r="R68" s="43">
        <v>98883134.439999998</v>
      </c>
      <c r="S68" s="43">
        <v>0</v>
      </c>
      <c r="T68" s="43">
        <v>0</v>
      </c>
      <c r="U68" s="43">
        <v>8699663</v>
      </c>
      <c r="V68" s="43">
        <v>0</v>
      </c>
      <c r="W68" s="43">
        <v>0</v>
      </c>
      <c r="X68" s="43">
        <v>0</v>
      </c>
      <c r="Y68" s="43">
        <v>0</v>
      </c>
      <c r="Z68" s="43">
        <v>1416547</v>
      </c>
      <c r="AA68" s="43">
        <v>7283116</v>
      </c>
      <c r="AB68" s="43">
        <v>24889535.90601005</v>
      </c>
      <c r="AC68" s="43">
        <v>0</v>
      </c>
      <c r="AD68" s="43">
        <v>0</v>
      </c>
      <c r="AE68" s="43">
        <v>26415066.386010051</v>
      </c>
      <c r="AF68" s="43">
        <v>-1525530.48</v>
      </c>
      <c r="AG68" s="43">
        <v>4187121222.1999998</v>
      </c>
      <c r="AH68" s="43">
        <v>3026455742.3299999</v>
      </c>
      <c r="AI68" s="43">
        <v>0</v>
      </c>
      <c r="AJ68" s="43">
        <v>776512381.48000002</v>
      </c>
      <c r="AK68" s="43">
        <v>384153098.3900001</v>
      </c>
      <c r="AL68" s="43">
        <v>0</v>
      </c>
      <c r="AM68" s="43">
        <v>0</v>
      </c>
      <c r="AN68" s="43">
        <v>532434628</v>
      </c>
      <c r="AO68" s="43">
        <v>55644627</v>
      </c>
      <c r="AP68" s="43">
        <v>44245034</v>
      </c>
      <c r="AQ68" s="43">
        <v>0</v>
      </c>
      <c r="AR68" s="43">
        <v>0</v>
      </c>
      <c r="AS68" s="43">
        <v>1014956252</v>
      </c>
      <c r="AT68" s="43">
        <v>-582411285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328267558.26999998</v>
      </c>
      <c r="BA68" s="43">
        <v>211503801.27000001</v>
      </c>
      <c r="BB68" s="43">
        <v>116763757</v>
      </c>
      <c r="BC68" s="43">
        <v>0</v>
      </c>
      <c r="BD68" s="43">
        <v>97512356.709999993</v>
      </c>
      <c r="BE68" s="43">
        <v>0</v>
      </c>
      <c r="BF68" s="43">
        <v>0</v>
      </c>
      <c r="BG68" s="43">
        <v>97512356.709999993</v>
      </c>
      <c r="BH68" s="43">
        <v>16747416740.790001</v>
      </c>
      <c r="BI68" s="43">
        <v>98946732</v>
      </c>
      <c r="BJ68" s="43">
        <v>0</v>
      </c>
      <c r="BK68" s="43">
        <v>158603115</v>
      </c>
      <c r="BL68" s="43">
        <v>-59656383</v>
      </c>
      <c r="BM68" s="43">
        <v>0</v>
      </c>
      <c r="BN68" s="43">
        <v>0</v>
      </c>
      <c r="BO68" s="43">
        <v>0</v>
      </c>
      <c r="BP68" s="43">
        <v>0</v>
      </c>
      <c r="BQ68" s="43">
        <v>7248896398.7999992</v>
      </c>
      <c r="BR68" s="43">
        <v>0</v>
      </c>
      <c r="BS68" s="43">
        <v>0</v>
      </c>
      <c r="BT68" s="43">
        <v>0</v>
      </c>
      <c r="BU68" s="43">
        <v>7248896398.7999992</v>
      </c>
      <c r="BV68" s="43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9281471806.3900013</v>
      </c>
      <c r="CK68" s="43">
        <v>0</v>
      </c>
      <c r="CL68" s="43">
        <v>0</v>
      </c>
      <c r="CM68" s="43">
        <v>9074174399.0500011</v>
      </c>
      <c r="CN68" s="43">
        <v>0</v>
      </c>
      <c r="CO68" s="43">
        <v>0</v>
      </c>
      <c r="CP68" s="43">
        <v>207297407.34</v>
      </c>
      <c r="CQ68" s="43">
        <v>0</v>
      </c>
      <c r="CR68" s="43">
        <v>0</v>
      </c>
      <c r="CS68" s="43">
        <v>0</v>
      </c>
      <c r="CT68" s="43">
        <v>0</v>
      </c>
      <c r="CU68" s="43">
        <v>72171464</v>
      </c>
      <c r="CV68" s="43">
        <v>72171464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45930339.600000001</v>
      </c>
      <c r="DC68" s="43">
        <v>45930339.600000001</v>
      </c>
      <c r="DD68" s="43">
        <v>0</v>
      </c>
      <c r="DE68" s="43">
        <v>4885826981.2700005</v>
      </c>
      <c r="DF68" s="43">
        <v>45000000</v>
      </c>
      <c r="DG68" s="43">
        <v>45000000</v>
      </c>
      <c r="DH68" s="43">
        <v>0</v>
      </c>
      <c r="DI68" s="43">
        <v>0</v>
      </c>
      <c r="DJ68" s="43">
        <v>0</v>
      </c>
      <c r="DK68" s="43">
        <v>0</v>
      </c>
      <c r="DL68" s="43">
        <v>0</v>
      </c>
      <c r="DM68" s="43">
        <v>0</v>
      </c>
      <c r="DN68" s="43">
        <v>0</v>
      </c>
      <c r="DO68" s="43">
        <v>0</v>
      </c>
      <c r="DP68" s="43">
        <v>0</v>
      </c>
      <c r="DQ68" s="43">
        <v>0</v>
      </c>
      <c r="DR68" s="43">
        <v>263934081.27000001</v>
      </c>
      <c r="DS68" s="43">
        <v>22500000</v>
      </c>
      <c r="DT68" s="43">
        <v>0</v>
      </c>
      <c r="DU68" s="43">
        <v>110519</v>
      </c>
      <c r="DV68" s="43">
        <v>0</v>
      </c>
      <c r="DW68" s="43">
        <v>258814683</v>
      </c>
      <c r="DX68" s="43">
        <v>-17491120.73</v>
      </c>
      <c r="DY68" s="43">
        <v>2015717449</v>
      </c>
      <c r="DZ68" s="43">
        <v>2015717449</v>
      </c>
      <c r="EA68" s="43">
        <v>0</v>
      </c>
      <c r="EB68" s="43">
        <v>0</v>
      </c>
      <c r="EC68" s="43">
        <v>2561175451</v>
      </c>
      <c r="ED68" s="43">
        <v>2561175451</v>
      </c>
      <c r="EE68" s="43">
        <v>0</v>
      </c>
      <c r="EF68" s="43">
        <v>0</v>
      </c>
      <c r="EG68" s="51"/>
      <c r="EH68" s="51"/>
      <c r="EI68" s="51"/>
    </row>
    <row r="69" spans="1:139" ht="12.75" customHeight="1">
      <c r="A69" s="40" t="s">
        <v>188</v>
      </c>
      <c r="B69" s="41">
        <v>3011</v>
      </c>
      <c r="C69" s="42" t="s">
        <v>417</v>
      </c>
      <c r="D69" s="43">
        <v>2520887995.71</v>
      </c>
      <c r="E69" s="43">
        <v>1727027.9699999997</v>
      </c>
      <c r="F69" s="43">
        <v>0</v>
      </c>
      <c r="G69" s="43">
        <v>1727027.9699999997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1044721188.8799996</v>
      </c>
      <c r="O69" s="43">
        <v>525830924.13999981</v>
      </c>
      <c r="P69" s="43">
        <v>0</v>
      </c>
      <c r="Q69" s="43">
        <v>0</v>
      </c>
      <c r="R69" s="43">
        <v>518890264.73999977</v>
      </c>
      <c r="S69" s="43">
        <v>0</v>
      </c>
      <c r="T69" s="43">
        <v>0</v>
      </c>
      <c r="U69" s="43">
        <v>1606494.7399999984</v>
      </c>
      <c r="V69" s="43">
        <v>0</v>
      </c>
      <c r="W69" s="43">
        <v>0</v>
      </c>
      <c r="X69" s="43">
        <v>0</v>
      </c>
      <c r="Y69" s="43">
        <v>0</v>
      </c>
      <c r="Z69" s="43">
        <v>146613.5</v>
      </c>
      <c r="AA69" s="43">
        <v>1459881.2399999984</v>
      </c>
      <c r="AB69" s="43">
        <v>27110253.880000003</v>
      </c>
      <c r="AC69" s="43">
        <v>4375774.82</v>
      </c>
      <c r="AD69" s="43">
        <v>0</v>
      </c>
      <c r="AE69" s="43">
        <v>22734479.060000002</v>
      </c>
      <c r="AF69" s="43">
        <v>0</v>
      </c>
      <c r="AG69" s="43">
        <v>1199712850.04</v>
      </c>
      <c r="AH69" s="43">
        <v>1088091339.9900002</v>
      </c>
      <c r="AI69" s="43">
        <v>0</v>
      </c>
      <c r="AJ69" s="43">
        <v>9858474.0600000024</v>
      </c>
      <c r="AK69" s="43">
        <v>98256275.869999975</v>
      </c>
      <c r="AL69" s="43">
        <v>3506760.1199999992</v>
      </c>
      <c r="AM69" s="43">
        <v>0</v>
      </c>
      <c r="AN69" s="43">
        <v>130647803.05000004</v>
      </c>
      <c r="AO69" s="43">
        <v>38499443.520000041</v>
      </c>
      <c r="AP69" s="43">
        <v>7448444.0899999961</v>
      </c>
      <c r="AQ69" s="43">
        <v>0</v>
      </c>
      <c r="AR69" s="43">
        <v>0</v>
      </c>
      <c r="AS69" s="43">
        <v>187693610.54999998</v>
      </c>
      <c r="AT69" s="43">
        <v>-102993695.10999998</v>
      </c>
      <c r="AU69" s="43">
        <v>0</v>
      </c>
      <c r="AV69" s="43">
        <v>99498852.880000025</v>
      </c>
      <c r="AW69" s="43">
        <v>0</v>
      </c>
      <c r="AX69" s="43">
        <v>0</v>
      </c>
      <c r="AY69" s="43">
        <v>99498852.880000025</v>
      </c>
      <c r="AZ69" s="43">
        <v>14181337.080000002</v>
      </c>
      <c r="BA69" s="43">
        <v>14181337.080000002</v>
      </c>
      <c r="BB69" s="43">
        <v>0</v>
      </c>
      <c r="BC69" s="43">
        <v>0</v>
      </c>
      <c r="BD69" s="43">
        <v>1682187.1899999995</v>
      </c>
      <c r="BE69" s="43">
        <v>0</v>
      </c>
      <c r="BF69" s="43">
        <v>0</v>
      </c>
      <c r="BG69" s="43">
        <v>1682187.1899999995</v>
      </c>
      <c r="BH69" s="43">
        <v>40287654426.989998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38804439048.089996</v>
      </c>
      <c r="BR69" s="43">
        <v>0</v>
      </c>
      <c r="BS69" s="43">
        <v>0</v>
      </c>
      <c r="BT69" s="43">
        <v>0</v>
      </c>
      <c r="BU69" s="43">
        <v>38804439048.089996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0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1468602546.8999999</v>
      </c>
      <c r="CK69" s="43">
        <v>0</v>
      </c>
      <c r="CL69" s="43">
        <v>0</v>
      </c>
      <c r="CM69" s="43">
        <v>1387938805.79</v>
      </c>
      <c r="CN69" s="43">
        <v>0</v>
      </c>
      <c r="CO69" s="43">
        <v>0</v>
      </c>
      <c r="CP69" s="43">
        <v>80663741.109999999</v>
      </c>
      <c r="CQ69" s="43">
        <v>0</v>
      </c>
      <c r="CR69" s="43">
        <v>0</v>
      </c>
      <c r="CS69" s="43">
        <v>0</v>
      </c>
      <c r="CT69" s="43">
        <v>0</v>
      </c>
      <c r="CU69" s="43">
        <v>14612832</v>
      </c>
      <c r="CV69" s="43">
        <v>14612832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0</v>
      </c>
      <c r="DC69" s="43">
        <v>0</v>
      </c>
      <c r="DD69" s="43">
        <v>0</v>
      </c>
      <c r="DE69" s="43">
        <v>1051702420.0799999</v>
      </c>
      <c r="DF69" s="43">
        <v>20000000</v>
      </c>
      <c r="DG69" s="43">
        <v>20000000</v>
      </c>
      <c r="DH69" s="43">
        <v>0</v>
      </c>
      <c r="DI69" s="43">
        <v>0</v>
      </c>
      <c r="DJ69" s="43">
        <v>0</v>
      </c>
      <c r="DK69" s="43">
        <v>0</v>
      </c>
      <c r="DL69" s="43">
        <v>0</v>
      </c>
      <c r="DM69" s="43">
        <v>0</v>
      </c>
      <c r="DN69" s="43">
        <v>0</v>
      </c>
      <c r="DO69" s="43">
        <v>0</v>
      </c>
      <c r="DP69" s="43">
        <v>0</v>
      </c>
      <c r="DQ69" s="43">
        <v>0</v>
      </c>
      <c r="DR69" s="43">
        <v>128301246.85999998</v>
      </c>
      <c r="DS69" s="43">
        <v>7100000.0599999996</v>
      </c>
      <c r="DT69" s="43">
        <v>0</v>
      </c>
      <c r="DU69" s="43">
        <v>53629903.609999999</v>
      </c>
      <c r="DV69" s="43">
        <v>77083865.340000004</v>
      </c>
      <c r="DW69" s="43">
        <v>-9512522.1499999985</v>
      </c>
      <c r="DX69" s="43">
        <v>0</v>
      </c>
      <c r="DY69" s="43">
        <v>454718112.09000003</v>
      </c>
      <c r="DZ69" s="43">
        <v>454718112.09000003</v>
      </c>
      <c r="EA69" s="43">
        <v>0</v>
      </c>
      <c r="EB69" s="43">
        <v>0</v>
      </c>
      <c r="EC69" s="43">
        <v>448683061.12999988</v>
      </c>
      <c r="ED69" s="43">
        <v>448683061.12999988</v>
      </c>
      <c r="EE69" s="43">
        <v>0</v>
      </c>
      <c r="EF69" s="43">
        <v>0</v>
      </c>
      <c r="EG69" s="51"/>
      <c r="EH69" s="51"/>
      <c r="EI69" s="51"/>
    </row>
    <row r="70" spans="1:139" ht="12.75" customHeight="1">
      <c r="A70" s="40" t="s">
        <v>191</v>
      </c>
      <c r="B70" s="41">
        <v>3012</v>
      </c>
      <c r="C70" s="42" t="s">
        <v>417</v>
      </c>
      <c r="D70" s="43">
        <v>387304485714.06</v>
      </c>
      <c r="E70" s="43">
        <v>24448805.109999999</v>
      </c>
      <c r="F70" s="43">
        <v>0</v>
      </c>
      <c r="G70" s="43">
        <v>15767785.390000001</v>
      </c>
      <c r="H70" s="43">
        <v>-41356.19</v>
      </c>
      <c r="I70" s="43">
        <v>0</v>
      </c>
      <c r="J70" s="43">
        <v>0</v>
      </c>
      <c r="K70" s="43">
        <v>0</v>
      </c>
      <c r="L70" s="43">
        <v>0</v>
      </c>
      <c r="M70" s="43">
        <v>8722375.9100000001</v>
      </c>
      <c r="N70" s="43">
        <v>381203173146.04004</v>
      </c>
      <c r="O70" s="43">
        <v>824310783.04999995</v>
      </c>
      <c r="P70" s="43">
        <v>0</v>
      </c>
      <c r="Q70" s="43">
        <v>0</v>
      </c>
      <c r="R70" s="43">
        <v>380378853186.05005</v>
      </c>
      <c r="S70" s="43">
        <v>9176.94</v>
      </c>
      <c r="T70" s="43">
        <v>0</v>
      </c>
      <c r="U70" s="43">
        <v>538924.29</v>
      </c>
      <c r="V70" s="43">
        <v>0</v>
      </c>
      <c r="W70" s="43">
        <v>0</v>
      </c>
      <c r="X70" s="43">
        <v>0</v>
      </c>
      <c r="Y70" s="43">
        <v>0</v>
      </c>
      <c r="Z70" s="43">
        <v>538924.29</v>
      </c>
      <c r="AA70" s="43">
        <v>0</v>
      </c>
      <c r="AB70" s="43">
        <v>136884914.69</v>
      </c>
      <c r="AC70" s="43">
        <v>0</v>
      </c>
      <c r="AD70" s="43">
        <v>0</v>
      </c>
      <c r="AE70" s="43">
        <v>136884914.69</v>
      </c>
      <c r="AF70" s="43">
        <v>0</v>
      </c>
      <c r="AG70" s="43">
        <v>3796480904.2900004</v>
      </c>
      <c r="AH70" s="43">
        <v>2356311198.8400002</v>
      </c>
      <c r="AI70" s="43">
        <v>0</v>
      </c>
      <c r="AJ70" s="43">
        <v>851594656.91999996</v>
      </c>
      <c r="AK70" s="43">
        <v>588575048.53000021</v>
      </c>
      <c r="AL70" s="43">
        <v>0</v>
      </c>
      <c r="AM70" s="43">
        <v>0</v>
      </c>
      <c r="AN70" s="43">
        <v>1064048235.3799999</v>
      </c>
      <c r="AO70" s="43">
        <v>301756638.07999998</v>
      </c>
      <c r="AP70" s="43">
        <v>32045919.899999999</v>
      </c>
      <c r="AQ70" s="43">
        <v>0</v>
      </c>
      <c r="AR70" s="43">
        <v>7131914.2199999997</v>
      </c>
      <c r="AS70" s="43">
        <v>1951144068.5</v>
      </c>
      <c r="AT70" s="43">
        <v>-1228030305.3199999</v>
      </c>
      <c r="AU70" s="43">
        <v>0</v>
      </c>
      <c r="AV70" s="43">
        <v>30578603.940000001</v>
      </c>
      <c r="AW70" s="43">
        <v>0</v>
      </c>
      <c r="AX70" s="43">
        <v>0</v>
      </c>
      <c r="AY70" s="43">
        <v>30578603.940000001</v>
      </c>
      <c r="AZ70" s="43">
        <v>1048332180.3199999</v>
      </c>
      <c r="BA70" s="43">
        <v>762983594.13999999</v>
      </c>
      <c r="BB70" s="43">
        <v>285348586.18000001</v>
      </c>
      <c r="BC70" s="43">
        <v>0</v>
      </c>
      <c r="BD70" s="43">
        <v>0</v>
      </c>
      <c r="BE70" s="43">
        <v>0</v>
      </c>
      <c r="BF70" s="43">
        <v>0</v>
      </c>
      <c r="BG70" s="43">
        <v>0</v>
      </c>
      <c r="BH70" s="43">
        <v>15783412851.239996</v>
      </c>
      <c r="BI70" s="43">
        <v>1675830.4700000002</v>
      </c>
      <c r="BJ70" s="43">
        <v>0</v>
      </c>
      <c r="BK70" s="43">
        <v>1740265.37</v>
      </c>
      <c r="BL70" s="43">
        <v>-64434.9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3">
        <v>0</v>
      </c>
      <c r="BW70" s="43">
        <v>0</v>
      </c>
      <c r="BX70" s="43">
        <v>0</v>
      </c>
      <c r="BY70" s="43">
        <v>0</v>
      </c>
      <c r="BZ70" s="43">
        <v>0</v>
      </c>
      <c r="CA70" s="43">
        <v>0</v>
      </c>
      <c r="CB70" s="43">
        <v>0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15681190879.289997</v>
      </c>
      <c r="CK70" s="43">
        <v>0</v>
      </c>
      <c r="CL70" s="43">
        <v>0</v>
      </c>
      <c r="CM70" s="43">
        <v>15518843638.079998</v>
      </c>
      <c r="CN70" s="43">
        <v>0</v>
      </c>
      <c r="CO70" s="43">
        <v>0</v>
      </c>
      <c r="CP70" s="43">
        <v>162347241.21000001</v>
      </c>
      <c r="CQ70" s="43">
        <v>10257823</v>
      </c>
      <c r="CR70" s="43">
        <v>0</v>
      </c>
      <c r="CS70" s="43">
        <v>0</v>
      </c>
      <c r="CT70" s="43">
        <v>10257823</v>
      </c>
      <c r="CU70" s="43">
        <v>90288318.480000004</v>
      </c>
      <c r="CV70" s="43">
        <v>90288318.480000004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0</v>
      </c>
      <c r="DC70" s="43">
        <v>0</v>
      </c>
      <c r="DD70" s="43">
        <v>0</v>
      </c>
      <c r="DE70" s="43">
        <v>9553833763.9599991</v>
      </c>
      <c r="DF70" s="43">
        <v>503084445.04000002</v>
      </c>
      <c r="DG70" s="43">
        <v>500000000</v>
      </c>
      <c r="DH70" s="43">
        <v>0</v>
      </c>
      <c r="DI70" s="43">
        <v>3084445.04</v>
      </c>
      <c r="DJ70" s="43">
        <v>0</v>
      </c>
      <c r="DK70" s="43">
        <v>0</v>
      </c>
      <c r="DL70" s="43">
        <v>0</v>
      </c>
      <c r="DM70" s="43">
        <v>0</v>
      </c>
      <c r="DN70" s="43">
        <v>0</v>
      </c>
      <c r="DO70" s="43">
        <v>0</v>
      </c>
      <c r="DP70" s="43">
        <v>0</v>
      </c>
      <c r="DQ70" s="43">
        <v>0</v>
      </c>
      <c r="DR70" s="43">
        <v>4354836177.3199997</v>
      </c>
      <c r="DS70" s="43">
        <v>250000000</v>
      </c>
      <c r="DT70" s="43">
        <v>0</v>
      </c>
      <c r="DU70" s="43">
        <v>4019381437.3800001</v>
      </c>
      <c r="DV70" s="43">
        <v>0</v>
      </c>
      <c r="DW70" s="43">
        <v>108992836.45</v>
      </c>
      <c r="DX70" s="43">
        <v>-23538096.510000002</v>
      </c>
      <c r="DY70" s="43">
        <v>0</v>
      </c>
      <c r="DZ70" s="43">
        <v>0</v>
      </c>
      <c r="EA70" s="43">
        <v>0</v>
      </c>
      <c r="EB70" s="43">
        <v>0</v>
      </c>
      <c r="EC70" s="43">
        <v>4695913141.5999994</v>
      </c>
      <c r="ED70" s="43">
        <v>4695913141.5999994</v>
      </c>
      <c r="EE70" s="43">
        <v>0</v>
      </c>
      <c r="EF70" s="43">
        <v>0</v>
      </c>
      <c r="EG70" s="51"/>
      <c r="EH70" s="51"/>
      <c r="EI70" s="51"/>
    </row>
    <row r="71" spans="1:139" ht="12.75" customHeight="1">
      <c r="A71" s="40" t="s">
        <v>194</v>
      </c>
      <c r="B71" s="41">
        <v>3016</v>
      </c>
      <c r="C71" s="42" t="s">
        <v>417</v>
      </c>
      <c r="D71" s="43">
        <v>4827027968.627862</v>
      </c>
      <c r="E71" s="43">
        <v>17025957.48</v>
      </c>
      <c r="F71" s="43">
        <v>0</v>
      </c>
      <c r="G71" s="43">
        <v>19206790.440000001</v>
      </c>
      <c r="H71" s="43">
        <v>-2180832.96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882835365.05786097</v>
      </c>
      <c r="O71" s="43">
        <v>171283739.59999999</v>
      </c>
      <c r="P71" s="43">
        <v>0</v>
      </c>
      <c r="Q71" s="43">
        <v>0</v>
      </c>
      <c r="R71" s="43">
        <v>532109778.94</v>
      </c>
      <c r="S71" s="43">
        <v>179441846.51786101</v>
      </c>
      <c r="T71" s="43">
        <v>0</v>
      </c>
      <c r="U71" s="43">
        <v>744001.6</v>
      </c>
      <c r="V71" s="43">
        <v>0</v>
      </c>
      <c r="W71" s="43">
        <v>0</v>
      </c>
      <c r="X71" s="43">
        <v>0</v>
      </c>
      <c r="Y71" s="43">
        <v>0</v>
      </c>
      <c r="Z71" s="43">
        <v>744001.6</v>
      </c>
      <c r="AA71" s="43">
        <v>0</v>
      </c>
      <c r="AB71" s="43">
        <v>127096350.37</v>
      </c>
      <c r="AC71" s="43">
        <v>0</v>
      </c>
      <c r="AD71" s="43">
        <v>0</v>
      </c>
      <c r="AE71" s="43">
        <v>127096350.37</v>
      </c>
      <c r="AF71" s="43">
        <v>0</v>
      </c>
      <c r="AG71" s="43">
        <v>3238904791.8900003</v>
      </c>
      <c r="AH71" s="43">
        <v>2319187901.8200002</v>
      </c>
      <c r="AI71" s="43">
        <v>1323639.21</v>
      </c>
      <c r="AJ71" s="43">
        <v>0</v>
      </c>
      <c r="AK71" s="43">
        <v>918393250.86000001</v>
      </c>
      <c r="AL71" s="43">
        <v>0</v>
      </c>
      <c r="AM71" s="43">
        <v>0</v>
      </c>
      <c r="AN71" s="43">
        <v>185417747.13999999</v>
      </c>
      <c r="AO71" s="43">
        <v>80380551.959999993</v>
      </c>
      <c r="AP71" s="43">
        <v>16167073.859999999</v>
      </c>
      <c r="AQ71" s="43">
        <v>0</v>
      </c>
      <c r="AR71" s="43">
        <v>0</v>
      </c>
      <c r="AS71" s="43">
        <v>195185147.43000001</v>
      </c>
      <c r="AT71" s="43">
        <v>-106315026.11</v>
      </c>
      <c r="AU71" s="43">
        <v>0</v>
      </c>
      <c r="AV71" s="43">
        <v>372484124</v>
      </c>
      <c r="AW71" s="43">
        <v>0</v>
      </c>
      <c r="AX71" s="43">
        <v>0</v>
      </c>
      <c r="AY71" s="43">
        <v>372484124</v>
      </c>
      <c r="AZ71" s="43">
        <v>5932137.5999999996</v>
      </c>
      <c r="BA71" s="43">
        <v>5932137.5999999996</v>
      </c>
      <c r="BB71" s="43">
        <v>0</v>
      </c>
      <c r="BC71" s="43">
        <v>0</v>
      </c>
      <c r="BD71" s="43">
        <v>-3412506.51</v>
      </c>
      <c r="BE71" s="43">
        <v>-3412506.51</v>
      </c>
      <c r="BF71" s="43">
        <v>0</v>
      </c>
      <c r="BG71" s="43">
        <v>0</v>
      </c>
      <c r="BH71" s="43">
        <v>73312592583.500015</v>
      </c>
      <c r="BI71" s="43">
        <v>11326546.640000001</v>
      </c>
      <c r="BJ71" s="43">
        <v>0</v>
      </c>
      <c r="BK71" s="43">
        <v>16116011.67</v>
      </c>
      <c r="BL71" s="43">
        <v>-4789465.03</v>
      </c>
      <c r="BM71" s="43">
        <v>0</v>
      </c>
      <c r="BN71" s="43">
        <v>0</v>
      </c>
      <c r="BO71" s="43">
        <v>0</v>
      </c>
      <c r="BP71" s="43">
        <v>0</v>
      </c>
      <c r="BQ71" s="43">
        <v>72855370952.320007</v>
      </c>
      <c r="BR71" s="43">
        <v>0</v>
      </c>
      <c r="BS71" s="43">
        <v>0</v>
      </c>
      <c r="BT71" s="43">
        <v>0</v>
      </c>
      <c r="BU71" s="43">
        <v>72855370952.320007</v>
      </c>
      <c r="BV71" s="43">
        <v>0</v>
      </c>
      <c r="BW71" s="43">
        <v>0</v>
      </c>
      <c r="BX71" s="43">
        <v>0</v>
      </c>
      <c r="BY71" s="43">
        <v>0</v>
      </c>
      <c r="BZ71" s="43">
        <v>0</v>
      </c>
      <c r="CA71" s="43">
        <v>0</v>
      </c>
      <c r="CB71" s="43">
        <v>0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421807262.69</v>
      </c>
      <c r="CK71" s="43">
        <v>0</v>
      </c>
      <c r="CL71" s="43">
        <v>0</v>
      </c>
      <c r="CM71" s="43">
        <v>370040017.43000001</v>
      </c>
      <c r="CN71" s="43">
        <v>0</v>
      </c>
      <c r="CO71" s="43">
        <v>0</v>
      </c>
      <c r="CP71" s="43">
        <v>51767245.259999998</v>
      </c>
      <c r="CQ71" s="43">
        <v>0</v>
      </c>
      <c r="CR71" s="43">
        <v>0</v>
      </c>
      <c r="CS71" s="43">
        <v>0</v>
      </c>
      <c r="CT71" s="43">
        <v>0</v>
      </c>
      <c r="CU71" s="43">
        <v>24087821.850000001</v>
      </c>
      <c r="CV71" s="43">
        <v>24087821.850000001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0</v>
      </c>
      <c r="DC71" s="43">
        <v>0</v>
      </c>
      <c r="DD71" s="43">
        <v>0</v>
      </c>
      <c r="DE71" s="43">
        <v>2489158488.0999999</v>
      </c>
      <c r="DF71" s="43">
        <v>1000000000</v>
      </c>
      <c r="DG71" s="43">
        <v>1000000000</v>
      </c>
      <c r="DH71" s="43">
        <v>0</v>
      </c>
      <c r="DI71" s="43">
        <v>0</v>
      </c>
      <c r="DJ71" s="43">
        <v>0</v>
      </c>
      <c r="DK71" s="43">
        <v>0</v>
      </c>
      <c r="DL71" s="43">
        <v>0</v>
      </c>
      <c r="DM71" s="43">
        <v>0</v>
      </c>
      <c r="DN71" s="43">
        <v>0</v>
      </c>
      <c r="DO71" s="43">
        <v>0</v>
      </c>
      <c r="DP71" s="43">
        <v>0</v>
      </c>
      <c r="DQ71" s="43">
        <v>0</v>
      </c>
      <c r="DR71" s="43">
        <v>124810413.35999998</v>
      </c>
      <c r="DS71" s="43">
        <v>14400000</v>
      </c>
      <c r="DT71" s="43">
        <v>0</v>
      </c>
      <c r="DU71" s="43">
        <v>0</v>
      </c>
      <c r="DV71" s="43">
        <v>193212572.59999999</v>
      </c>
      <c r="DW71" s="43">
        <v>-65416703.950000003</v>
      </c>
      <c r="DX71" s="43">
        <v>-17385455.289999999</v>
      </c>
      <c r="DY71" s="43">
        <v>949268224.13999999</v>
      </c>
      <c r="DZ71" s="43">
        <v>949268224.13999999</v>
      </c>
      <c r="EA71" s="43">
        <v>-16676657.1</v>
      </c>
      <c r="EB71" s="43">
        <v>-16676657.1</v>
      </c>
      <c r="EC71" s="43">
        <v>431756507.69999999</v>
      </c>
      <c r="ED71" s="43">
        <v>431756507.69999999</v>
      </c>
      <c r="EE71" s="43">
        <v>0</v>
      </c>
      <c r="EF71" s="43">
        <v>0</v>
      </c>
      <c r="EG71" s="51"/>
      <c r="EH71" s="51"/>
      <c r="EI71" s="51"/>
    </row>
    <row r="72" spans="1:139" ht="12.75" customHeight="1">
      <c r="A72" s="40" t="s">
        <v>197</v>
      </c>
      <c r="B72" s="41">
        <v>3017</v>
      </c>
      <c r="C72" s="42" t="s">
        <v>417</v>
      </c>
      <c r="D72" s="43">
        <v>39548682993.550148</v>
      </c>
      <c r="E72" s="43">
        <v>31286599.079999998</v>
      </c>
      <c r="F72" s="43">
        <v>0</v>
      </c>
      <c r="G72" s="43">
        <v>60144318.579999998</v>
      </c>
      <c r="H72" s="43">
        <v>-28857719.5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30486276116.370029</v>
      </c>
      <c r="O72" s="43">
        <v>913198613.24000013</v>
      </c>
      <c r="P72" s="43">
        <v>0</v>
      </c>
      <c r="Q72" s="43">
        <v>0</v>
      </c>
      <c r="R72" s="43">
        <v>29573077503.130028</v>
      </c>
      <c r="S72" s="43">
        <v>0</v>
      </c>
      <c r="T72" s="43">
        <v>0</v>
      </c>
      <c r="U72" s="43">
        <v>2330769157.1399999</v>
      </c>
      <c r="V72" s="43">
        <v>2185003848.1399999</v>
      </c>
      <c r="W72" s="43">
        <v>0</v>
      </c>
      <c r="X72" s="43">
        <v>0</v>
      </c>
      <c r="Y72" s="43">
        <v>0</v>
      </c>
      <c r="Z72" s="43">
        <v>0</v>
      </c>
      <c r="AA72" s="43">
        <v>145765309</v>
      </c>
      <c r="AB72" s="43">
        <v>9120070.599999994</v>
      </c>
      <c r="AC72" s="43">
        <v>0</v>
      </c>
      <c r="AD72" s="43">
        <v>0</v>
      </c>
      <c r="AE72" s="43">
        <v>9120070.599999994</v>
      </c>
      <c r="AF72" s="43">
        <v>0</v>
      </c>
      <c r="AG72" s="43">
        <v>5163699525.0001173</v>
      </c>
      <c r="AH72" s="43">
        <v>3845144589.7199998</v>
      </c>
      <c r="AI72" s="43">
        <v>0</v>
      </c>
      <c r="AJ72" s="43">
        <v>665227955.18011796</v>
      </c>
      <c r="AK72" s="43">
        <v>651374462.20000005</v>
      </c>
      <c r="AL72" s="43">
        <v>1952517.9</v>
      </c>
      <c r="AM72" s="43">
        <v>0</v>
      </c>
      <c r="AN72" s="43">
        <v>4226353.4299999475</v>
      </c>
      <c r="AO72" s="43">
        <v>65266678.600000009</v>
      </c>
      <c r="AP72" s="43">
        <v>24805555.210000001</v>
      </c>
      <c r="AQ72" s="43">
        <v>0</v>
      </c>
      <c r="AR72" s="43">
        <v>0</v>
      </c>
      <c r="AS72" s="43">
        <v>290324368.94</v>
      </c>
      <c r="AT72" s="43">
        <v>-376170249.32000005</v>
      </c>
      <c r="AU72" s="43">
        <v>0</v>
      </c>
      <c r="AV72" s="43">
        <v>1446504182.78</v>
      </c>
      <c r="AW72" s="43">
        <v>0</v>
      </c>
      <c r="AX72" s="43">
        <v>0</v>
      </c>
      <c r="AY72" s="43">
        <v>1446504182.78</v>
      </c>
      <c r="AZ72" s="43">
        <v>76800989.150000006</v>
      </c>
      <c r="BA72" s="43">
        <v>14955910.470000001</v>
      </c>
      <c r="BB72" s="43">
        <v>61845078.68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3">
        <v>2134423506.5098822</v>
      </c>
      <c r="BI72" s="43">
        <v>80177622.74000001</v>
      </c>
      <c r="BJ72" s="43">
        <v>0</v>
      </c>
      <c r="BK72" s="43">
        <v>114828206.54000001</v>
      </c>
      <c r="BL72" s="43">
        <v>-34650583.799999997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0</v>
      </c>
      <c r="CB72" s="43">
        <v>0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2020540199.2098823</v>
      </c>
      <c r="CK72" s="43">
        <v>0</v>
      </c>
      <c r="CL72" s="43">
        <v>0</v>
      </c>
      <c r="CM72" s="43">
        <v>1727599655.3998823</v>
      </c>
      <c r="CN72" s="43">
        <v>0</v>
      </c>
      <c r="CO72" s="43">
        <v>0</v>
      </c>
      <c r="CP72" s="43">
        <v>292940543.81</v>
      </c>
      <c r="CQ72" s="43">
        <v>0</v>
      </c>
      <c r="CR72" s="43">
        <v>0</v>
      </c>
      <c r="CS72" s="43">
        <v>0</v>
      </c>
      <c r="CT72" s="43">
        <v>0</v>
      </c>
      <c r="CU72" s="43">
        <v>33705684.560000002</v>
      </c>
      <c r="CV72" s="43">
        <v>33705684.560000002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0</v>
      </c>
      <c r="DD72" s="43">
        <v>0</v>
      </c>
      <c r="DE72" s="43">
        <v>5469098411.029994</v>
      </c>
      <c r="DF72" s="43">
        <v>451006589</v>
      </c>
      <c r="DG72" s="43">
        <v>451006589</v>
      </c>
      <c r="DH72" s="43">
        <v>0</v>
      </c>
      <c r="DI72" s="43">
        <v>0</v>
      </c>
      <c r="DJ72" s="43">
        <v>0</v>
      </c>
      <c r="DK72" s="43">
        <v>0</v>
      </c>
      <c r="DL72" s="43">
        <v>0</v>
      </c>
      <c r="DM72" s="43">
        <v>0</v>
      </c>
      <c r="DN72" s="43">
        <v>0</v>
      </c>
      <c r="DO72" s="43">
        <v>0</v>
      </c>
      <c r="DP72" s="43">
        <v>0</v>
      </c>
      <c r="DQ72" s="43">
        <v>0</v>
      </c>
      <c r="DR72" s="43">
        <v>669383795.91999984</v>
      </c>
      <c r="DS72" s="43">
        <v>807638126.43999994</v>
      </c>
      <c r="DT72" s="43">
        <v>720000</v>
      </c>
      <c r="DU72" s="43">
        <v>56921.04</v>
      </c>
      <c r="DV72" s="43">
        <v>-134815.97</v>
      </c>
      <c r="DW72" s="43">
        <v>-138896435.59</v>
      </c>
      <c r="DX72" s="43">
        <v>0</v>
      </c>
      <c r="DY72" s="43">
        <v>1841913905.9999995</v>
      </c>
      <c r="DZ72" s="43">
        <v>1841913905.9999995</v>
      </c>
      <c r="EA72" s="43">
        <v>0</v>
      </c>
      <c r="EB72" s="43">
        <v>0</v>
      </c>
      <c r="EC72" s="43">
        <v>2506794120.1099949</v>
      </c>
      <c r="ED72" s="43">
        <v>2506794120.1099949</v>
      </c>
      <c r="EE72" s="43">
        <v>0</v>
      </c>
      <c r="EF72" s="43">
        <v>0</v>
      </c>
      <c r="EG72" s="51"/>
      <c r="EH72" s="51"/>
      <c r="EI72" s="51"/>
    </row>
    <row r="73" spans="1:139" ht="12.75" customHeight="1">
      <c r="A73" s="40" t="s">
        <v>14</v>
      </c>
      <c r="B73" s="41">
        <v>3018</v>
      </c>
      <c r="C73" s="42" t="s">
        <v>417</v>
      </c>
      <c r="D73" s="43">
        <v>30821800808.270004</v>
      </c>
      <c r="E73" s="43">
        <v>6043427930.0200005</v>
      </c>
      <c r="F73" s="43">
        <v>0</v>
      </c>
      <c r="G73" s="43">
        <v>197570343.02000001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5845857587</v>
      </c>
      <c r="N73" s="43">
        <v>2310286711.7799997</v>
      </c>
      <c r="O73" s="43">
        <v>198296510.35000002</v>
      </c>
      <c r="P73" s="43">
        <v>0</v>
      </c>
      <c r="Q73" s="43">
        <v>0</v>
      </c>
      <c r="R73" s="43">
        <v>2099484917.9499998</v>
      </c>
      <c r="S73" s="43">
        <v>12505283.479999999</v>
      </c>
      <c r="T73" s="43">
        <v>0</v>
      </c>
      <c r="U73" s="43">
        <v>3000484023.1500001</v>
      </c>
      <c r="V73" s="43">
        <v>3000000357</v>
      </c>
      <c r="W73" s="43">
        <v>0</v>
      </c>
      <c r="X73" s="43">
        <v>0</v>
      </c>
      <c r="Y73" s="43">
        <v>0</v>
      </c>
      <c r="Z73" s="43">
        <v>483666.14999999997</v>
      </c>
      <c r="AA73" s="43">
        <v>0</v>
      </c>
      <c r="AB73" s="43">
        <v>231345824.49000001</v>
      </c>
      <c r="AC73" s="43">
        <v>8008911.6799999997</v>
      </c>
      <c r="AD73" s="43">
        <v>0</v>
      </c>
      <c r="AE73" s="43">
        <v>223336912.81</v>
      </c>
      <c r="AF73" s="43">
        <v>0</v>
      </c>
      <c r="AG73" s="43">
        <v>13260741370.07</v>
      </c>
      <c r="AH73" s="43">
        <v>10087335017.34</v>
      </c>
      <c r="AI73" s="43">
        <v>0</v>
      </c>
      <c r="AJ73" s="43">
        <v>145545631.99000001</v>
      </c>
      <c r="AK73" s="43">
        <v>2805808287.5799999</v>
      </c>
      <c r="AL73" s="43">
        <v>222052433.16</v>
      </c>
      <c r="AM73" s="43">
        <v>0</v>
      </c>
      <c r="AN73" s="43">
        <v>2743300177.4400005</v>
      </c>
      <c r="AO73" s="43">
        <v>565605354.49000013</v>
      </c>
      <c r="AP73" s="43">
        <v>83861085.709999993</v>
      </c>
      <c r="AQ73" s="43">
        <v>0</v>
      </c>
      <c r="AR73" s="43">
        <v>0</v>
      </c>
      <c r="AS73" s="43">
        <v>3566633156.96</v>
      </c>
      <c r="AT73" s="43">
        <v>-1472799419.72</v>
      </c>
      <c r="AU73" s="43">
        <v>0</v>
      </c>
      <c r="AV73" s="43">
        <v>3229090795.4400001</v>
      </c>
      <c r="AW73" s="43">
        <v>0</v>
      </c>
      <c r="AX73" s="43">
        <v>0</v>
      </c>
      <c r="AY73" s="43">
        <v>3229090795.4400001</v>
      </c>
      <c r="AZ73" s="43">
        <v>0</v>
      </c>
      <c r="BA73" s="43">
        <v>0</v>
      </c>
      <c r="BB73" s="43">
        <v>0</v>
      </c>
      <c r="BC73" s="43">
        <v>0</v>
      </c>
      <c r="BD73" s="43">
        <v>3123975.88</v>
      </c>
      <c r="BE73" s="43">
        <v>0</v>
      </c>
      <c r="BF73" s="43">
        <v>0</v>
      </c>
      <c r="BG73" s="43">
        <v>3123975.88</v>
      </c>
      <c r="BH73" s="43">
        <v>528121647356.7002</v>
      </c>
      <c r="BI73" s="43">
        <v>51895484.329999998</v>
      </c>
      <c r="BJ73" s="43">
        <v>0</v>
      </c>
      <c r="BK73" s="43">
        <v>51895484.329999998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516371625584.38013</v>
      </c>
      <c r="BR73" s="43">
        <v>0</v>
      </c>
      <c r="BS73" s="43">
        <v>0</v>
      </c>
      <c r="BT73" s="43">
        <v>0</v>
      </c>
      <c r="BU73" s="43">
        <v>516371625584.38013</v>
      </c>
      <c r="BV73" s="43">
        <v>0</v>
      </c>
      <c r="BW73" s="43">
        <v>0</v>
      </c>
      <c r="BX73" s="43">
        <v>0</v>
      </c>
      <c r="BY73" s="43">
        <v>0</v>
      </c>
      <c r="BZ73" s="43">
        <v>0</v>
      </c>
      <c r="CA73" s="43">
        <v>0</v>
      </c>
      <c r="CB73" s="43">
        <v>0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0</v>
      </c>
      <c r="CI73" s="43">
        <v>0</v>
      </c>
      <c r="CJ73" s="43">
        <v>11465160029.84</v>
      </c>
      <c r="CK73" s="43">
        <v>0</v>
      </c>
      <c r="CL73" s="43">
        <v>0</v>
      </c>
      <c r="CM73" s="43">
        <v>10419428477.91</v>
      </c>
      <c r="CN73" s="43">
        <v>0</v>
      </c>
      <c r="CO73" s="43">
        <v>0</v>
      </c>
      <c r="CP73" s="43">
        <v>1045731551.9299999</v>
      </c>
      <c r="CQ73" s="43">
        <v>0</v>
      </c>
      <c r="CR73" s="43">
        <v>0</v>
      </c>
      <c r="CS73" s="43">
        <v>0</v>
      </c>
      <c r="CT73" s="43">
        <v>0</v>
      </c>
      <c r="CU73" s="43">
        <v>232966258.15000001</v>
      </c>
      <c r="CV73" s="43">
        <v>232966258.15000001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0</v>
      </c>
      <c r="DC73" s="43">
        <v>0</v>
      </c>
      <c r="DD73" s="43">
        <v>0</v>
      </c>
      <c r="DE73" s="43">
        <v>39420406835.490067</v>
      </c>
      <c r="DF73" s="43">
        <v>10020102795.049999</v>
      </c>
      <c r="DG73" s="43">
        <v>10000000000</v>
      </c>
      <c r="DH73" s="43">
        <v>0</v>
      </c>
      <c r="DI73" s="43">
        <v>20102795.050000001</v>
      </c>
      <c r="DJ73" s="43">
        <v>0</v>
      </c>
      <c r="DK73" s="43">
        <v>0</v>
      </c>
      <c r="DL73" s="43">
        <v>152699782.11000001</v>
      </c>
      <c r="DM73" s="43">
        <v>0</v>
      </c>
      <c r="DN73" s="43">
        <v>0</v>
      </c>
      <c r="DO73" s="43">
        <v>0</v>
      </c>
      <c r="DP73" s="43">
        <v>0</v>
      </c>
      <c r="DQ73" s="43">
        <v>152699782.11000001</v>
      </c>
      <c r="DR73" s="43">
        <v>18228022661.739998</v>
      </c>
      <c r="DS73" s="43">
        <v>1492281655.1900001</v>
      </c>
      <c r="DT73" s="43">
        <v>0</v>
      </c>
      <c r="DU73" s="43">
        <v>16915951964.869999</v>
      </c>
      <c r="DV73" s="43">
        <v>0</v>
      </c>
      <c r="DW73" s="43">
        <v>-192718272.13999999</v>
      </c>
      <c r="DX73" s="43">
        <v>12507313.820000008</v>
      </c>
      <c r="DY73" s="43">
        <v>11154929.630065918</v>
      </c>
      <c r="DZ73" s="43">
        <v>11154929.630065918</v>
      </c>
      <c r="EA73" s="43">
        <v>0</v>
      </c>
      <c r="EB73" s="43">
        <v>0</v>
      </c>
      <c r="EC73" s="43">
        <v>11008426666.960007</v>
      </c>
      <c r="ED73" s="43">
        <v>11008426666.960007</v>
      </c>
      <c r="EE73" s="43">
        <v>0</v>
      </c>
      <c r="EF73" s="43">
        <v>0</v>
      </c>
      <c r="EG73" s="51"/>
      <c r="EH73" s="51"/>
      <c r="EI73" s="51"/>
    </row>
    <row r="74" spans="1:139" ht="12.75" customHeight="1">
      <c r="A74" s="40" t="s">
        <v>200</v>
      </c>
      <c r="B74" s="41">
        <v>4002</v>
      </c>
      <c r="C74" s="42" t="s">
        <v>418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</v>
      </c>
      <c r="CB74" s="43">
        <v>0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43">
        <v>0</v>
      </c>
      <c r="DK74" s="43">
        <v>0</v>
      </c>
      <c r="DL74" s="43">
        <v>0</v>
      </c>
      <c r="DM74" s="43">
        <v>0</v>
      </c>
      <c r="DN74" s="43">
        <v>0</v>
      </c>
      <c r="DO74" s="43">
        <v>0</v>
      </c>
      <c r="DP74" s="43">
        <v>0</v>
      </c>
      <c r="DQ74" s="43">
        <v>0</v>
      </c>
      <c r="DR74" s="43">
        <v>0</v>
      </c>
      <c r="DS74" s="43">
        <v>0</v>
      </c>
      <c r="DT74" s="43">
        <v>0</v>
      </c>
      <c r="DU74" s="43">
        <v>0</v>
      </c>
      <c r="DV74" s="43">
        <v>0</v>
      </c>
      <c r="DW74" s="43">
        <v>0</v>
      </c>
      <c r="DX74" s="43">
        <v>0</v>
      </c>
      <c r="DY74" s="43">
        <v>0</v>
      </c>
      <c r="DZ74" s="43">
        <v>0</v>
      </c>
      <c r="EA74" s="43">
        <v>0</v>
      </c>
      <c r="EB74" s="43">
        <v>0</v>
      </c>
      <c r="EC74" s="43">
        <v>0</v>
      </c>
      <c r="ED74" s="43">
        <v>0</v>
      </c>
      <c r="EE74" s="43">
        <v>0</v>
      </c>
      <c r="EF74" s="43">
        <v>0</v>
      </c>
      <c r="EG74" s="51"/>
      <c r="EH74" s="51"/>
      <c r="EI74" s="51"/>
    </row>
    <row r="75" spans="1:139" ht="12.75" customHeight="1">
      <c r="A75" s="44" t="s">
        <v>201</v>
      </c>
      <c r="B75" s="45">
        <v>4003</v>
      </c>
      <c r="C75" s="42" t="s">
        <v>418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3">
        <v>0</v>
      </c>
      <c r="AI75" s="43">
        <v>0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0</v>
      </c>
      <c r="CB75" s="43">
        <v>0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0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0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0</v>
      </c>
      <c r="DC75" s="43">
        <v>0</v>
      </c>
      <c r="DD75" s="43">
        <v>0</v>
      </c>
      <c r="DE75" s="43">
        <v>0</v>
      </c>
      <c r="DF75" s="43">
        <v>0</v>
      </c>
      <c r="DG75" s="43">
        <v>0</v>
      </c>
      <c r="DH75" s="43">
        <v>0</v>
      </c>
      <c r="DI75" s="43">
        <v>0</v>
      </c>
      <c r="DJ75" s="43">
        <v>0</v>
      </c>
      <c r="DK75" s="43">
        <v>0</v>
      </c>
      <c r="DL75" s="43">
        <v>0</v>
      </c>
      <c r="DM75" s="43">
        <v>0</v>
      </c>
      <c r="DN75" s="43">
        <v>0</v>
      </c>
      <c r="DO75" s="43">
        <v>0</v>
      </c>
      <c r="DP75" s="43">
        <v>0</v>
      </c>
      <c r="DQ75" s="43">
        <v>0</v>
      </c>
      <c r="DR75" s="43">
        <v>0</v>
      </c>
      <c r="DS75" s="43">
        <v>0</v>
      </c>
      <c r="DT75" s="43">
        <v>0</v>
      </c>
      <c r="DU75" s="43">
        <v>0</v>
      </c>
      <c r="DV75" s="43">
        <v>0</v>
      </c>
      <c r="DW75" s="43">
        <v>0</v>
      </c>
      <c r="DX75" s="43">
        <v>0</v>
      </c>
      <c r="DY75" s="43">
        <v>0</v>
      </c>
      <c r="DZ75" s="43">
        <v>0</v>
      </c>
      <c r="EA75" s="43">
        <v>0</v>
      </c>
      <c r="EB75" s="43">
        <v>0</v>
      </c>
      <c r="EC75" s="43">
        <v>0</v>
      </c>
      <c r="ED75" s="43">
        <v>0</v>
      </c>
      <c r="EE75" s="43">
        <v>0</v>
      </c>
      <c r="EF75" s="43">
        <v>0</v>
      </c>
      <c r="EG75" s="51"/>
      <c r="EH75" s="51"/>
      <c r="EI75" s="51"/>
    </row>
    <row r="76" spans="1:139" ht="12.75" customHeight="1">
      <c r="A76" s="44" t="s">
        <v>203</v>
      </c>
      <c r="B76" s="45">
        <v>4004</v>
      </c>
      <c r="C76" s="42" t="s">
        <v>418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43">
        <v>0</v>
      </c>
      <c r="DK76" s="43">
        <v>0</v>
      </c>
      <c r="DL76" s="43">
        <v>0</v>
      </c>
      <c r="DM76" s="43">
        <v>0</v>
      </c>
      <c r="DN76" s="43">
        <v>0</v>
      </c>
      <c r="DO76" s="43">
        <v>0</v>
      </c>
      <c r="DP76" s="43">
        <v>0</v>
      </c>
      <c r="DQ76" s="43">
        <v>0</v>
      </c>
      <c r="DR76" s="43">
        <v>0</v>
      </c>
      <c r="DS76" s="43">
        <v>0</v>
      </c>
      <c r="DT76" s="43">
        <v>0</v>
      </c>
      <c r="DU76" s="43">
        <v>0</v>
      </c>
      <c r="DV76" s="43">
        <v>0</v>
      </c>
      <c r="DW76" s="43">
        <v>0</v>
      </c>
      <c r="DX76" s="43">
        <v>0</v>
      </c>
      <c r="DY76" s="43">
        <v>0</v>
      </c>
      <c r="DZ76" s="43">
        <v>0</v>
      </c>
      <c r="EA76" s="43">
        <v>0</v>
      </c>
      <c r="EB76" s="43">
        <v>0</v>
      </c>
      <c r="EC76" s="43">
        <v>0</v>
      </c>
      <c r="ED76" s="43">
        <v>0</v>
      </c>
      <c r="EE76" s="43">
        <v>0</v>
      </c>
      <c r="EF76" s="43">
        <v>0</v>
      </c>
      <c r="EG76" s="51"/>
      <c r="EH76" s="51"/>
      <c r="EI76" s="51"/>
    </row>
    <row r="77" spans="1:139" ht="12.75" customHeight="1">
      <c r="A77" s="44" t="s">
        <v>204</v>
      </c>
      <c r="B77" s="45">
        <v>4005</v>
      </c>
      <c r="C77" s="42" t="s">
        <v>418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>
        <v>0</v>
      </c>
      <c r="AA77" s="43">
        <v>0</v>
      </c>
      <c r="AB77" s="43">
        <v>0</v>
      </c>
      <c r="AC77" s="43">
        <v>0</v>
      </c>
      <c r="AD77" s="43">
        <v>0</v>
      </c>
      <c r="AE77" s="43">
        <v>0</v>
      </c>
      <c r="AF77" s="43">
        <v>0</v>
      </c>
      <c r="AG77" s="43">
        <v>0</v>
      </c>
      <c r="AH77" s="43">
        <v>0</v>
      </c>
      <c r="AI77" s="43">
        <v>0</v>
      </c>
      <c r="AJ77" s="43">
        <v>0</v>
      </c>
      <c r="AK77" s="43">
        <v>0</v>
      </c>
      <c r="AL77" s="43">
        <v>0</v>
      </c>
      <c r="AM77" s="43">
        <v>0</v>
      </c>
      <c r="AN77" s="43">
        <v>0</v>
      </c>
      <c r="AO77" s="43">
        <v>0</v>
      </c>
      <c r="AP77" s="43">
        <v>0</v>
      </c>
      <c r="AQ77" s="43">
        <v>0</v>
      </c>
      <c r="AR77" s="43">
        <v>0</v>
      </c>
      <c r="AS77" s="43">
        <v>0</v>
      </c>
      <c r="AT77" s="43">
        <v>0</v>
      </c>
      <c r="AU77" s="43">
        <v>0</v>
      </c>
      <c r="AV77" s="43">
        <v>0</v>
      </c>
      <c r="AW77" s="43">
        <v>0</v>
      </c>
      <c r="AX77" s="43">
        <v>0</v>
      </c>
      <c r="AY77" s="43">
        <v>0</v>
      </c>
      <c r="AZ77" s="43">
        <v>0</v>
      </c>
      <c r="BA77" s="43">
        <v>0</v>
      </c>
      <c r="BB77" s="43">
        <v>0</v>
      </c>
      <c r="BC77" s="43">
        <v>0</v>
      </c>
      <c r="BD77" s="43">
        <v>0</v>
      </c>
      <c r="BE77" s="43">
        <v>0</v>
      </c>
      <c r="BF77" s="43">
        <v>0</v>
      </c>
      <c r="BG77" s="43">
        <v>0</v>
      </c>
      <c r="BH77" s="43">
        <v>0</v>
      </c>
      <c r="BI77" s="43">
        <v>0</v>
      </c>
      <c r="BJ77" s="43">
        <v>0</v>
      </c>
      <c r="BK77" s="43">
        <v>0</v>
      </c>
      <c r="BL77" s="43">
        <v>0</v>
      </c>
      <c r="BM77" s="43">
        <v>0</v>
      </c>
      <c r="BN77" s="43">
        <v>0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0</v>
      </c>
      <c r="BU77" s="43">
        <v>0</v>
      </c>
      <c r="BV77" s="43">
        <v>0</v>
      </c>
      <c r="BW77" s="43">
        <v>0</v>
      </c>
      <c r="BX77" s="43">
        <v>0</v>
      </c>
      <c r="BY77" s="43">
        <v>0</v>
      </c>
      <c r="BZ77" s="43">
        <v>0</v>
      </c>
      <c r="CA77" s="43">
        <v>0</v>
      </c>
      <c r="CB77" s="43">
        <v>0</v>
      </c>
      <c r="CC77" s="43">
        <v>0</v>
      </c>
      <c r="CD77" s="43">
        <v>0</v>
      </c>
      <c r="CE77" s="43">
        <v>0</v>
      </c>
      <c r="CF77" s="43">
        <v>0</v>
      </c>
      <c r="CG77" s="43">
        <v>0</v>
      </c>
      <c r="CH77" s="43">
        <v>0</v>
      </c>
      <c r="CI77" s="43">
        <v>0</v>
      </c>
      <c r="CJ77" s="43">
        <v>0</v>
      </c>
      <c r="CK77" s="43">
        <v>0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0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3">
        <v>0</v>
      </c>
      <c r="CY77" s="43">
        <v>0</v>
      </c>
      <c r="CZ77" s="43">
        <v>0</v>
      </c>
      <c r="DA77" s="43">
        <v>0</v>
      </c>
      <c r="DB77" s="43">
        <v>0</v>
      </c>
      <c r="DC77" s="43">
        <v>0</v>
      </c>
      <c r="DD77" s="43">
        <v>0</v>
      </c>
      <c r="DE77" s="43">
        <v>0</v>
      </c>
      <c r="DF77" s="43">
        <v>0</v>
      </c>
      <c r="DG77" s="43">
        <v>0</v>
      </c>
      <c r="DH77" s="43">
        <v>0</v>
      </c>
      <c r="DI77" s="43">
        <v>0</v>
      </c>
      <c r="DJ77" s="43">
        <v>0</v>
      </c>
      <c r="DK77" s="43">
        <v>0</v>
      </c>
      <c r="DL77" s="43">
        <v>0</v>
      </c>
      <c r="DM77" s="43">
        <v>0</v>
      </c>
      <c r="DN77" s="43">
        <v>0</v>
      </c>
      <c r="DO77" s="43">
        <v>0</v>
      </c>
      <c r="DP77" s="43">
        <v>0</v>
      </c>
      <c r="DQ77" s="43">
        <v>0</v>
      </c>
      <c r="DR77" s="43">
        <v>0</v>
      </c>
      <c r="DS77" s="43">
        <v>0</v>
      </c>
      <c r="DT77" s="43">
        <v>0</v>
      </c>
      <c r="DU77" s="43">
        <v>0</v>
      </c>
      <c r="DV77" s="43">
        <v>0</v>
      </c>
      <c r="DW77" s="43">
        <v>0</v>
      </c>
      <c r="DX77" s="43">
        <v>0</v>
      </c>
      <c r="DY77" s="43">
        <v>0</v>
      </c>
      <c r="DZ77" s="43">
        <v>0</v>
      </c>
      <c r="EA77" s="43">
        <v>0</v>
      </c>
      <c r="EB77" s="43">
        <v>0</v>
      </c>
      <c r="EC77" s="43">
        <v>0</v>
      </c>
      <c r="ED77" s="43">
        <v>0</v>
      </c>
      <c r="EE77" s="43">
        <v>0</v>
      </c>
      <c r="EF77" s="43">
        <v>0</v>
      </c>
      <c r="EG77" s="51"/>
      <c r="EH77" s="51"/>
      <c r="EI77" s="51"/>
    </row>
    <row r="78" spans="1:139" ht="12.75" customHeight="1">
      <c r="A78" s="46" t="s">
        <v>19</v>
      </c>
      <c r="B78" s="47">
        <v>9000</v>
      </c>
      <c r="C78" s="42" t="s">
        <v>419</v>
      </c>
      <c r="D78" s="48">
        <v>1088160135996.5908</v>
      </c>
      <c r="E78" s="48">
        <v>16666529239.440001</v>
      </c>
      <c r="F78" s="48">
        <v>4760868.2399999993</v>
      </c>
      <c r="G78" s="48">
        <v>1002414954.3000001</v>
      </c>
      <c r="H78" s="48">
        <v>-296572005.15000004</v>
      </c>
      <c r="I78" s="48">
        <v>0</v>
      </c>
      <c r="J78" s="48">
        <v>0</v>
      </c>
      <c r="K78" s="48">
        <v>0</v>
      </c>
      <c r="L78" s="48">
        <v>0</v>
      </c>
      <c r="M78" s="48">
        <v>15955925422.050003</v>
      </c>
      <c r="N78" s="48">
        <v>103286882609.15326</v>
      </c>
      <c r="O78" s="48">
        <v>86142189911.453369</v>
      </c>
      <c r="P78" s="48">
        <v>3433227719.6698689</v>
      </c>
      <c r="Q78" s="48">
        <v>240198109.60999998</v>
      </c>
      <c r="R78" s="48">
        <v>0</v>
      </c>
      <c r="S78" s="48">
        <v>14050844855.580002</v>
      </c>
      <c r="T78" s="48">
        <v>-579577987.16000009</v>
      </c>
      <c r="U78" s="48">
        <v>4013163221.6261969</v>
      </c>
      <c r="V78" s="48">
        <v>3131669928.7261963</v>
      </c>
      <c r="W78" s="48">
        <v>0</v>
      </c>
      <c r="X78" s="48">
        <v>4813284.96</v>
      </c>
      <c r="Y78" s="48">
        <v>-497750</v>
      </c>
      <c r="Z78" s="48">
        <v>217887825.66</v>
      </c>
      <c r="AA78" s="48">
        <v>659289932.28000021</v>
      </c>
      <c r="AB78" s="48">
        <v>25149883313.627831</v>
      </c>
      <c r="AC78" s="48">
        <v>1765232691.25</v>
      </c>
      <c r="AD78" s="48">
        <v>7614362961.920001</v>
      </c>
      <c r="AE78" s="48">
        <v>15966674064.387825</v>
      </c>
      <c r="AF78" s="48">
        <v>-196386403.93000001</v>
      </c>
      <c r="AG78" s="48">
        <v>877754979111.9552</v>
      </c>
      <c r="AH78" s="48">
        <v>460286776539.76953</v>
      </c>
      <c r="AI78" s="48">
        <v>18175586841.890003</v>
      </c>
      <c r="AJ78" s="48">
        <v>21645502.389999997</v>
      </c>
      <c r="AK78" s="48">
        <v>395758198461.15558</v>
      </c>
      <c r="AL78" s="48">
        <v>2447297096.8000007</v>
      </c>
      <c r="AM78" s="48">
        <v>1065474669.95</v>
      </c>
      <c r="AN78" s="48">
        <v>24028342054.930054</v>
      </c>
      <c r="AO78" s="48">
        <v>10215466118.730051</v>
      </c>
      <c r="AP78" s="48">
        <v>1100966544.200002</v>
      </c>
      <c r="AQ78" s="48">
        <v>0</v>
      </c>
      <c r="AR78" s="48">
        <v>315251536.13</v>
      </c>
      <c r="AS78" s="48">
        <v>28103876649.849995</v>
      </c>
      <c r="AT78" s="48">
        <v>-15709342450.040001</v>
      </c>
      <c r="AU78" s="48">
        <v>2123656.06</v>
      </c>
      <c r="AV78" s="48">
        <v>11880217358.529999</v>
      </c>
      <c r="AW78" s="48">
        <v>168578035.56999999</v>
      </c>
      <c r="AX78" s="48">
        <v>0</v>
      </c>
      <c r="AY78" s="48">
        <v>11711639322.959999</v>
      </c>
      <c r="AZ78" s="48">
        <v>24608138360.639984</v>
      </c>
      <c r="BA78" s="48">
        <v>22605030199.159996</v>
      </c>
      <c r="BB78" s="48">
        <v>1756891823.7099931</v>
      </c>
      <c r="BC78" s="48">
        <v>246216337.76999995</v>
      </c>
      <c r="BD78" s="48">
        <v>772000726.68838751</v>
      </c>
      <c r="BE78" s="48">
        <v>422372128.96999997</v>
      </c>
      <c r="BF78" s="48">
        <v>4.3600000000001273</v>
      </c>
      <c r="BG78" s="48">
        <v>349628593.35838741</v>
      </c>
      <c r="BH78" s="48">
        <v>36578130570.2742</v>
      </c>
      <c r="BI78" s="48">
        <v>1842368900.0700002</v>
      </c>
      <c r="BJ78" s="48">
        <v>0</v>
      </c>
      <c r="BK78" s="48">
        <v>2101926431.9000001</v>
      </c>
      <c r="BL78" s="48">
        <v>-455221306.29999995</v>
      </c>
      <c r="BM78" s="48">
        <v>0</v>
      </c>
      <c r="BN78" s="48">
        <v>0</v>
      </c>
      <c r="BO78" s="48">
        <v>0</v>
      </c>
      <c r="BP78" s="48">
        <v>195663774.47000003</v>
      </c>
      <c r="BQ78" s="48">
        <v>264417015.14000005</v>
      </c>
      <c r="BR78" s="48">
        <v>143177491.91000003</v>
      </c>
      <c r="BS78" s="48">
        <v>0</v>
      </c>
      <c r="BT78" s="48">
        <v>121239523.23</v>
      </c>
      <c r="BU78" s="48">
        <v>0</v>
      </c>
      <c r="BV78" s="48">
        <v>0</v>
      </c>
      <c r="BW78" s="48">
        <v>0</v>
      </c>
      <c r="BX78" s="48">
        <v>2833612.98</v>
      </c>
      <c r="BY78" s="48">
        <v>2833612.98</v>
      </c>
      <c r="BZ78" s="48">
        <v>0</v>
      </c>
      <c r="CA78" s="48">
        <v>0</v>
      </c>
      <c r="CB78" s="48">
        <v>0</v>
      </c>
      <c r="CC78" s="48">
        <v>0</v>
      </c>
      <c r="CD78" s="48">
        <v>0</v>
      </c>
      <c r="CE78" s="48">
        <v>581545274.74999988</v>
      </c>
      <c r="CF78" s="48">
        <v>581545274.8599999</v>
      </c>
      <c r="CG78" s="48">
        <v>-0.11</v>
      </c>
      <c r="CH78" s="48">
        <v>0</v>
      </c>
      <c r="CI78" s="48">
        <v>0</v>
      </c>
      <c r="CJ78" s="48">
        <v>28314459782.004215</v>
      </c>
      <c r="CK78" s="48">
        <v>11884235644.550016</v>
      </c>
      <c r="CL78" s="48">
        <v>0</v>
      </c>
      <c r="CM78" s="48">
        <v>67299252.810000002</v>
      </c>
      <c r="CN78" s="48">
        <v>1833643975.8641901</v>
      </c>
      <c r="CO78" s="48">
        <v>0</v>
      </c>
      <c r="CP78" s="48">
        <v>14529280908.779999</v>
      </c>
      <c r="CQ78" s="48">
        <v>0</v>
      </c>
      <c r="CR78" s="48">
        <v>0</v>
      </c>
      <c r="CS78" s="48">
        <v>0</v>
      </c>
      <c r="CT78" s="48">
        <v>0</v>
      </c>
      <c r="CU78" s="48">
        <v>2925091325.7599988</v>
      </c>
      <c r="CV78" s="48">
        <v>2155024812.27</v>
      </c>
      <c r="CW78" s="48">
        <v>770066513.49000001</v>
      </c>
      <c r="CX78" s="48">
        <v>125325721.34999999</v>
      </c>
      <c r="CY78" s="48">
        <v>125296407.63</v>
      </c>
      <c r="CZ78" s="48">
        <v>0</v>
      </c>
      <c r="DA78" s="48">
        <v>29313.72</v>
      </c>
      <c r="DB78" s="48">
        <v>2522088938.2199998</v>
      </c>
      <c r="DC78" s="48">
        <v>2239389412.46</v>
      </c>
      <c r="DD78" s="48">
        <v>282699525.75999999</v>
      </c>
      <c r="DE78" s="48">
        <v>394468052785.93372</v>
      </c>
      <c r="DF78" s="48">
        <v>62858144553.760002</v>
      </c>
      <c r="DG78" s="48">
        <v>62607066461.709999</v>
      </c>
      <c r="DH78" s="48">
        <v>-18348232</v>
      </c>
      <c r="DI78" s="48">
        <v>119327516.14</v>
      </c>
      <c r="DJ78" s="48">
        <v>0</v>
      </c>
      <c r="DK78" s="48">
        <v>150098807.91</v>
      </c>
      <c r="DL78" s="48">
        <v>6282643790.8299999</v>
      </c>
      <c r="DM78" s="48">
        <v>1368674562.4200001</v>
      </c>
      <c r="DN78" s="48">
        <v>0</v>
      </c>
      <c r="DO78" s="48">
        <v>0</v>
      </c>
      <c r="DP78" s="48">
        <v>0</v>
      </c>
      <c r="DQ78" s="48">
        <v>4913969228.4099998</v>
      </c>
      <c r="DR78" s="48">
        <v>198306134155.91003</v>
      </c>
      <c r="DS78" s="48">
        <v>9002252588.5500011</v>
      </c>
      <c r="DT78" s="48">
        <v>2971447441.25</v>
      </c>
      <c r="DU78" s="48">
        <v>132129152742.55998</v>
      </c>
      <c r="DV78" s="48">
        <v>4735861357.3600006</v>
      </c>
      <c r="DW78" s="48">
        <v>44375978254.500008</v>
      </c>
      <c r="DX78" s="48">
        <v>5091441771.6900005</v>
      </c>
      <c r="DY78" s="48">
        <v>62448093844.850235</v>
      </c>
      <c r="DZ78" s="48">
        <v>62448093844.850235</v>
      </c>
      <c r="EA78" s="48">
        <v>-2912119156.8400621</v>
      </c>
      <c r="EB78" s="48">
        <v>-2912119156.8400621</v>
      </c>
      <c r="EC78" s="48">
        <v>67485155597.423454</v>
      </c>
      <c r="ED78" s="48">
        <v>68044221862.103462</v>
      </c>
      <c r="EE78" s="48">
        <v>-559066264.67999434</v>
      </c>
      <c r="EF78" s="48">
        <v>0</v>
      </c>
      <c r="EG78" s="51"/>
      <c r="EH78" s="51"/>
      <c r="EI78" s="51"/>
    </row>
    <row r="79" spans="1:139" ht="12.75" customHeight="1">
      <c r="A79" s="46" t="s">
        <v>20</v>
      </c>
      <c r="B79" s="47">
        <v>9001</v>
      </c>
      <c r="C79" s="42" t="s">
        <v>420</v>
      </c>
      <c r="D79" s="48">
        <v>566311081891.73926</v>
      </c>
      <c r="E79" s="48">
        <v>6813644427.0500011</v>
      </c>
      <c r="F79" s="48">
        <v>-0.03</v>
      </c>
      <c r="G79" s="48">
        <v>1180615630.4100001</v>
      </c>
      <c r="H79" s="48">
        <v>-234795586.39000002</v>
      </c>
      <c r="I79" s="48">
        <v>0</v>
      </c>
      <c r="J79" s="48">
        <v>0</v>
      </c>
      <c r="K79" s="48">
        <v>0</v>
      </c>
      <c r="L79" s="48">
        <v>0</v>
      </c>
      <c r="M79" s="48">
        <v>5867824383.0599995</v>
      </c>
      <c r="N79" s="48">
        <v>433645666855.16321</v>
      </c>
      <c r="O79" s="48">
        <v>7293362247.8650789</v>
      </c>
      <c r="P79" s="48">
        <v>399801268.48999995</v>
      </c>
      <c r="Q79" s="48">
        <v>168428571.41</v>
      </c>
      <c r="R79" s="48">
        <v>425353343974.97021</v>
      </c>
      <c r="S79" s="48">
        <v>430730792.42786896</v>
      </c>
      <c r="T79" s="48">
        <v>0</v>
      </c>
      <c r="U79" s="48">
        <v>5736927508.3199997</v>
      </c>
      <c r="V79" s="48">
        <v>5232784489.8299999</v>
      </c>
      <c r="W79" s="48">
        <v>0</v>
      </c>
      <c r="X79" s="48">
        <v>42232</v>
      </c>
      <c r="Y79" s="48">
        <v>38179173.57</v>
      </c>
      <c r="Z79" s="48">
        <v>12482530.850000022</v>
      </c>
      <c r="AA79" s="48">
        <v>453439082.06999999</v>
      </c>
      <c r="AB79" s="48">
        <v>1408629172.8410099</v>
      </c>
      <c r="AC79" s="48">
        <v>136846580.09999999</v>
      </c>
      <c r="AD79" s="48">
        <v>0</v>
      </c>
      <c r="AE79" s="48">
        <v>1273308123.2210102</v>
      </c>
      <c r="AF79" s="48">
        <v>-1525530.48</v>
      </c>
      <c r="AG79" s="48">
        <v>107102802775.8501</v>
      </c>
      <c r="AH79" s="48">
        <v>39893893653.369995</v>
      </c>
      <c r="AI79" s="48">
        <v>1462751.74</v>
      </c>
      <c r="AJ79" s="48">
        <v>56980825647.960106</v>
      </c>
      <c r="AK79" s="48">
        <v>9322051913.4200001</v>
      </c>
      <c r="AL79" s="48">
        <v>866393651.4799999</v>
      </c>
      <c r="AM79" s="48">
        <v>38175157.880000003</v>
      </c>
      <c r="AN79" s="48">
        <v>9715928071.2950001</v>
      </c>
      <c r="AO79" s="48">
        <v>2790538984.0650001</v>
      </c>
      <c r="AP79" s="48">
        <v>629144687.4799999</v>
      </c>
      <c r="AQ79" s="48">
        <v>0</v>
      </c>
      <c r="AR79" s="48">
        <v>7135022.2199999997</v>
      </c>
      <c r="AS79" s="48">
        <v>13543069646.820002</v>
      </c>
      <c r="AT79" s="48">
        <v>-7254563739.8799992</v>
      </c>
      <c r="AU79" s="48">
        <v>603470.59</v>
      </c>
      <c r="AV79" s="48">
        <v>8442384941.3899994</v>
      </c>
      <c r="AW79" s="48">
        <v>0</v>
      </c>
      <c r="AX79" s="48">
        <v>0</v>
      </c>
      <c r="AY79" s="48">
        <v>8442384941.3899994</v>
      </c>
      <c r="AZ79" s="48">
        <v>-6935107968.4000025</v>
      </c>
      <c r="BA79" s="48">
        <v>1060755973.36</v>
      </c>
      <c r="BB79" s="48">
        <v>2635184933.7199998</v>
      </c>
      <c r="BC79" s="48">
        <v>-10631048875.480001</v>
      </c>
      <c r="BD79" s="48">
        <v>380206108.22999996</v>
      </c>
      <c r="BE79" s="48">
        <v>-3412506.51</v>
      </c>
      <c r="BF79" s="48">
        <v>0</v>
      </c>
      <c r="BG79" s="48">
        <v>383618614.73999995</v>
      </c>
      <c r="BH79" s="48">
        <v>2178616489371.3896</v>
      </c>
      <c r="BI79" s="48">
        <v>1189241096.1600001</v>
      </c>
      <c r="BJ79" s="48">
        <v>0</v>
      </c>
      <c r="BK79" s="48">
        <v>1621349869.46</v>
      </c>
      <c r="BL79" s="48">
        <v>-435880115.39999992</v>
      </c>
      <c r="BM79" s="48">
        <v>0</v>
      </c>
      <c r="BN79" s="48">
        <v>0</v>
      </c>
      <c r="BO79" s="48">
        <v>0</v>
      </c>
      <c r="BP79" s="48">
        <v>3771342.1</v>
      </c>
      <c r="BQ79" s="48">
        <v>2001551891946.8599</v>
      </c>
      <c r="BR79" s="48">
        <v>0</v>
      </c>
      <c r="BS79" s="48">
        <v>0</v>
      </c>
      <c r="BT79" s="48">
        <v>0</v>
      </c>
      <c r="BU79" s="48">
        <v>2001551891946.8599</v>
      </c>
      <c r="BV79" s="48">
        <v>0</v>
      </c>
      <c r="BW79" s="48">
        <v>0</v>
      </c>
      <c r="BX79" s="48">
        <v>0</v>
      </c>
      <c r="BY79" s="48">
        <v>0</v>
      </c>
      <c r="BZ79" s="48">
        <v>0</v>
      </c>
      <c r="CA79" s="48">
        <v>0</v>
      </c>
      <c r="CB79" s="48">
        <v>0</v>
      </c>
      <c r="CC79" s="48">
        <v>0</v>
      </c>
      <c r="CD79" s="48">
        <v>0</v>
      </c>
      <c r="CE79" s="48">
        <v>87872466.920000002</v>
      </c>
      <c r="CF79" s="48">
        <v>87872466.920000002</v>
      </c>
      <c r="CG79" s="48">
        <v>0</v>
      </c>
      <c r="CH79" s="48">
        <v>0</v>
      </c>
      <c r="CI79" s="48">
        <v>0</v>
      </c>
      <c r="CJ79" s="48">
        <v>152598221717.92987</v>
      </c>
      <c r="CK79" s="48">
        <v>0</v>
      </c>
      <c r="CL79" s="48">
        <v>0</v>
      </c>
      <c r="CM79" s="48">
        <v>149083541625.65988</v>
      </c>
      <c r="CN79" s="48">
        <v>496587808.25</v>
      </c>
      <c r="CO79" s="48">
        <v>0</v>
      </c>
      <c r="CP79" s="48">
        <v>3018092284.0199995</v>
      </c>
      <c r="CQ79" s="48">
        <v>71142360.729999989</v>
      </c>
      <c r="CR79" s="48">
        <v>0</v>
      </c>
      <c r="CS79" s="48">
        <v>0</v>
      </c>
      <c r="CT79" s="48">
        <v>71142360.729999989</v>
      </c>
      <c r="CU79" s="48">
        <v>1391670800.1799998</v>
      </c>
      <c r="CV79" s="48">
        <v>1391670800.1799998</v>
      </c>
      <c r="CW79" s="48">
        <v>0</v>
      </c>
      <c r="CX79" s="48">
        <v>21668069451.919998</v>
      </c>
      <c r="CY79" s="48">
        <v>0</v>
      </c>
      <c r="CZ79" s="48">
        <v>0</v>
      </c>
      <c r="DA79" s="48">
        <v>21668069451.919998</v>
      </c>
      <c r="DB79" s="48">
        <v>58379530.689999998</v>
      </c>
      <c r="DC79" s="48">
        <v>45930339.600000001</v>
      </c>
      <c r="DD79" s="48">
        <v>12449191.09</v>
      </c>
      <c r="DE79" s="48">
        <v>117434254875.60452</v>
      </c>
      <c r="DF79" s="48">
        <v>17453945347.290001</v>
      </c>
      <c r="DG79" s="48">
        <v>17533300423.16</v>
      </c>
      <c r="DH79" s="48">
        <v>0</v>
      </c>
      <c r="DI79" s="48">
        <v>25644924.130000003</v>
      </c>
      <c r="DJ79" s="48">
        <v>0</v>
      </c>
      <c r="DK79" s="48">
        <v>-105000000</v>
      </c>
      <c r="DL79" s="48">
        <v>600217018.91999996</v>
      </c>
      <c r="DM79" s="48">
        <v>367117366.11000001</v>
      </c>
      <c r="DN79" s="48">
        <v>0</v>
      </c>
      <c r="DO79" s="48">
        <v>152751617</v>
      </c>
      <c r="DP79" s="48">
        <v>0</v>
      </c>
      <c r="DQ79" s="48">
        <v>80348035.810000017</v>
      </c>
      <c r="DR79" s="48">
        <v>57073591007.230003</v>
      </c>
      <c r="DS79" s="48">
        <v>5176630440.6900005</v>
      </c>
      <c r="DT79" s="48">
        <v>1130586439.0799999</v>
      </c>
      <c r="DU79" s="48">
        <v>47551173874.880005</v>
      </c>
      <c r="DV79" s="48">
        <v>612204831.61999989</v>
      </c>
      <c r="DW79" s="48">
        <v>2892119522.3400002</v>
      </c>
      <c r="DX79" s="48">
        <v>-289124101.38000005</v>
      </c>
      <c r="DY79" s="48">
        <v>6814353483.1500664</v>
      </c>
      <c r="DZ79" s="48">
        <v>6814353483.1500664</v>
      </c>
      <c r="EA79" s="48">
        <v>-591038059.13</v>
      </c>
      <c r="EB79" s="48">
        <v>-591038059.13</v>
      </c>
      <c r="EC79" s="48">
        <v>36083186078.14447</v>
      </c>
      <c r="ED79" s="48">
        <v>36083186078.14447</v>
      </c>
      <c r="EE79" s="48">
        <v>0</v>
      </c>
      <c r="EF79" s="48">
        <v>0</v>
      </c>
      <c r="EG79" s="51"/>
      <c r="EH79" s="51"/>
      <c r="EI79" s="51"/>
    </row>
    <row r="80" spans="1:139" ht="12.75" customHeight="1">
      <c r="A80" s="46" t="s">
        <v>21</v>
      </c>
      <c r="B80" s="47">
        <v>9002</v>
      </c>
      <c r="C80" s="42" t="s">
        <v>421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  <c r="AE80" s="48">
        <v>0</v>
      </c>
      <c r="AF80" s="48">
        <v>0</v>
      </c>
      <c r="AG80" s="48">
        <v>0</v>
      </c>
      <c r="AH80" s="48">
        <v>0</v>
      </c>
      <c r="AI80" s="48">
        <v>0</v>
      </c>
      <c r="AJ80" s="48">
        <v>0</v>
      </c>
      <c r="AK80" s="48">
        <v>0</v>
      </c>
      <c r="AL80" s="48">
        <v>0</v>
      </c>
      <c r="AM80" s="48">
        <v>0</v>
      </c>
      <c r="AN80" s="48">
        <v>0</v>
      </c>
      <c r="AO80" s="48">
        <v>0</v>
      </c>
      <c r="AP80" s="48">
        <v>0</v>
      </c>
      <c r="AQ80" s="48">
        <v>0</v>
      </c>
      <c r="AR80" s="48">
        <v>0</v>
      </c>
      <c r="AS80" s="48">
        <v>0</v>
      </c>
      <c r="AT80" s="48">
        <v>0</v>
      </c>
      <c r="AU80" s="48">
        <v>0</v>
      </c>
      <c r="AV80" s="48">
        <v>0</v>
      </c>
      <c r="AW80" s="48">
        <v>0</v>
      </c>
      <c r="AX80" s="48">
        <v>0</v>
      </c>
      <c r="AY80" s="48">
        <v>0</v>
      </c>
      <c r="AZ80" s="48">
        <v>0</v>
      </c>
      <c r="BA80" s="48">
        <v>0</v>
      </c>
      <c r="BB80" s="48">
        <v>0</v>
      </c>
      <c r="BC80" s="48">
        <v>0</v>
      </c>
      <c r="BD80" s="48">
        <v>0</v>
      </c>
      <c r="BE80" s="48">
        <v>0</v>
      </c>
      <c r="BF80" s="48">
        <v>0</v>
      </c>
      <c r="BG80" s="48">
        <v>0</v>
      </c>
      <c r="BH80" s="48">
        <v>0</v>
      </c>
      <c r="BI80" s="48">
        <v>0</v>
      </c>
      <c r="BJ80" s="48">
        <v>0</v>
      </c>
      <c r="BK80" s="48">
        <v>0</v>
      </c>
      <c r="BL80" s="48">
        <v>0</v>
      </c>
      <c r="BM80" s="48">
        <v>0</v>
      </c>
      <c r="BN80" s="48">
        <v>0</v>
      </c>
      <c r="BO80" s="48">
        <v>0</v>
      </c>
      <c r="BP80" s="48">
        <v>0</v>
      </c>
      <c r="BQ80" s="48">
        <v>0</v>
      </c>
      <c r="BR80" s="48">
        <v>0</v>
      </c>
      <c r="BS80" s="48">
        <v>0</v>
      </c>
      <c r="BT80" s="48">
        <v>0</v>
      </c>
      <c r="BU80" s="48">
        <v>0</v>
      </c>
      <c r="BV80" s="48">
        <v>0</v>
      </c>
      <c r="BW80" s="48">
        <v>0</v>
      </c>
      <c r="BX80" s="48">
        <v>0</v>
      </c>
      <c r="BY80" s="48">
        <v>0</v>
      </c>
      <c r="BZ80" s="48">
        <v>0</v>
      </c>
      <c r="CA80" s="48">
        <v>0</v>
      </c>
      <c r="CB80" s="48">
        <v>0</v>
      </c>
      <c r="CC80" s="48">
        <v>0</v>
      </c>
      <c r="CD80" s="48">
        <v>0</v>
      </c>
      <c r="CE80" s="48">
        <v>0</v>
      </c>
      <c r="CF80" s="48">
        <v>0</v>
      </c>
      <c r="CG80" s="48">
        <v>0</v>
      </c>
      <c r="CH80" s="48">
        <v>0</v>
      </c>
      <c r="CI80" s="48">
        <v>0</v>
      </c>
      <c r="CJ80" s="48">
        <v>0</v>
      </c>
      <c r="CK80" s="48">
        <v>0</v>
      </c>
      <c r="CL80" s="48">
        <v>0</v>
      </c>
      <c r="CM80" s="48">
        <v>0</v>
      </c>
      <c r="CN80" s="48">
        <v>0</v>
      </c>
      <c r="CO80" s="48">
        <v>0</v>
      </c>
      <c r="CP80" s="48">
        <v>0</v>
      </c>
      <c r="CQ80" s="48">
        <v>0</v>
      </c>
      <c r="CR80" s="48">
        <v>0</v>
      </c>
      <c r="CS80" s="48">
        <v>0</v>
      </c>
      <c r="CT80" s="48">
        <v>0</v>
      </c>
      <c r="CU80" s="48">
        <v>0</v>
      </c>
      <c r="CV80" s="48">
        <v>0</v>
      </c>
      <c r="CW80" s="48">
        <v>0</v>
      </c>
      <c r="CX80" s="48">
        <v>0</v>
      </c>
      <c r="CY80" s="48">
        <v>0</v>
      </c>
      <c r="CZ80" s="48">
        <v>0</v>
      </c>
      <c r="DA80" s="48">
        <v>0</v>
      </c>
      <c r="DB80" s="48">
        <v>0</v>
      </c>
      <c r="DC80" s="48">
        <v>0</v>
      </c>
      <c r="DD80" s="48">
        <v>0</v>
      </c>
      <c r="DE80" s="48">
        <v>0</v>
      </c>
      <c r="DF80" s="48">
        <v>0</v>
      </c>
      <c r="DG80" s="48">
        <v>0</v>
      </c>
      <c r="DH80" s="48">
        <v>0</v>
      </c>
      <c r="DI80" s="48">
        <v>0</v>
      </c>
      <c r="DJ80" s="48">
        <v>0</v>
      </c>
      <c r="DK80" s="48">
        <v>0</v>
      </c>
      <c r="DL80" s="48">
        <v>0</v>
      </c>
      <c r="DM80" s="48">
        <v>0</v>
      </c>
      <c r="DN80" s="48">
        <v>0</v>
      </c>
      <c r="DO80" s="48">
        <v>0</v>
      </c>
      <c r="DP80" s="48">
        <v>0</v>
      </c>
      <c r="DQ80" s="48">
        <v>0</v>
      </c>
      <c r="DR80" s="48">
        <v>0</v>
      </c>
      <c r="DS80" s="48">
        <v>0</v>
      </c>
      <c r="DT80" s="48">
        <v>0</v>
      </c>
      <c r="DU80" s="48">
        <v>0</v>
      </c>
      <c r="DV80" s="48">
        <v>0</v>
      </c>
      <c r="DW80" s="48">
        <v>0</v>
      </c>
      <c r="DX80" s="48">
        <v>0</v>
      </c>
      <c r="DY80" s="48">
        <v>0</v>
      </c>
      <c r="DZ80" s="48">
        <v>0</v>
      </c>
      <c r="EA80" s="48">
        <v>0</v>
      </c>
      <c r="EB80" s="48">
        <v>0</v>
      </c>
      <c r="EC80" s="48">
        <v>0</v>
      </c>
      <c r="ED80" s="48">
        <v>0</v>
      </c>
      <c r="EE80" s="48">
        <v>0</v>
      </c>
      <c r="EF80" s="48">
        <v>0</v>
      </c>
      <c r="EG80" s="51"/>
      <c r="EH80" s="51"/>
      <c r="EI80" s="51"/>
    </row>
    <row r="81" spans="1:139" ht="15.75">
      <c r="A81" s="46" t="s">
        <v>22</v>
      </c>
      <c r="B81" s="47">
        <v>9003</v>
      </c>
      <c r="C81" s="42" t="s">
        <v>422</v>
      </c>
      <c r="D81" s="48">
        <v>1654471217888.3301</v>
      </c>
      <c r="E81" s="48">
        <v>23480173666.490002</v>
      </c>
      <c r="F81" s="48">
        <v>4760868.209999999</v>
      </c>
      <c r="G81" s="48">
        <v>2183030584.71</v>
      </c>
      <c r="H81" s="48">
        <v>-531367591.54000008</v>
      </c>
      <c r="I81" s="48">
        <v>0</v>
      </c>
      <c r="J81" s="48">
        <v>0</v>
      </c>
      <c r="K81" s="48">
        <v>0</v>
      </c>
      <c r="L81" s="48">
        <v>0</v>
      </c>
      <c r="M81" s="48">
        <v>21823749805.110001</v>
      </c>
      <c r="N81" s="48">
        <v>536932549464.31647</v>
      </c>
      <c r="O81" s="48">
        <v>93435552159.318451</v>
      </c>
      <c r="P81" s="48">
        <v>3833028988.1598687</v>
      </c>
      <c r="Q81" s="48">
        <v>408626681.01999998</v>
      </c>
      <c r="R81" s="48">
        <v>425353343974.97021</v>
      </c>
      <c r="S81" s="48">
        <v>14481575648.007872</v>
      </c>
      <c r="T81" s="48">
        <v>-579577987.16000009</v>
      </c>
      <c r="U81" s="48">
        <v>9750090729.9461975</v>
      </c>
      <c r="V81" s="48">
        <v>8364454418.5561962</v>
      </c>
      <c r="W81" s="48">
        <v>0</v>
      </c>
      <c r="X81" s="48">
        <v>4855516.96</v>
      </c>
      <c r="Y81" s="48">
        <v>37681423.57</v>
      </c>
      <c r="Z81" s="48">
        <v>230370356.51000002</v>
      </c>
      <c r="AA81" s="48">
        <v>1112729014.3500001</v>
      </c>
      <c r="AB81" s="48">
        <v>26558512486.468842</v>
      </c>
      <c r="AC81" s="48">
        <v>1902079271.3499999</v>
      </c>
      <c r="AD81" s="48">
        <v>7614362961.920001</v>
      </c>
      <c r="AE81" s="48">
        <v>17239982187.608833</v>
      </c>
      <c r="AF81" s="48">
        <v>-197911934.41</v>
      </c>
      <c r="AG81" s="48">
        <v>984857781887.8053</v>
      </c>
      <c r="AH81" s="48">
        <v>500180670193.13953</v>
      </c>
      <c r="AI81" s="48">
        <v>18177049593.630005</v>
      </c>
      <c r="AJ81" s="48">
        <v>57002471150.350105</v>
      </c>
      <c r="AK81" s="48">
        <v>405080250374.57556</v>
      </c>
      <c r="AL81" s="48">
        <v>3313690748.2800007</v>
      </c>
      <c r="AM81" s="48">
        <v>1103649827.8300002</v>
      </c>
      <c r="AN81" s="48">
        <v>33744270126.225052</v>
      </c>
      <c r="AO81" s="48">
        <v>13006005102.795052</v>
      </c>
      <c r="AP81" s="48">
        <v>1730111231.6800017</v>
      </c>
      <c r="AQ81" s="48">
        <v>0</v>
      </c>
      <c r="AR81" s="48">
        <v>322386558.35000002</v>
      </c>
      <c r="AS81" s="48">
        <v>41646946296.669998</v>
      </c>
      <c r="AT81" s="48">
        <v>-22963906189.919998</v>
      </c>
      <c r="AU81" s="48">
        <v>2727126.65</v>
      </c>
      <c r="AV81" s="48">
        <v>20322602299.919998</v>
      </c>
      <c r="AW81" s="48">
        <v>168578035.56999999</v>
      </c>
      <c r="AX81" s="48">
        <v>0</v>
      </c>
      <c r="AY81" s="48">
        <v>20154024264.349998</v>
      </c>
      <c r="AZ81" s="48">
        <v>17673030392.239983</v>
      </c>
      <c r="BA81" s="48">
        <v>23665786172.519997</v>
      </c>
      <c r="BB81" s="48">
        <v>4392076757.4299927</v>
      </c>
      <c r="BC81" s="48">
        <v>-10384832537.710001</v>
      </c>
      <c r="BD81" s="48">
        <v>1152206834.9183874</v>
      </c>
      <c r="BE81" s="48">
        <v>418959622.45999998</v>
      </c>
      <c r="BF81" s="48">
        <v>4.3600000000001273</v>
      </c>
      <c r="BG81" s="48">
        <v>733247208.09838736</v>
      </c>
      <c r="BH81" s="48">
        <v>2215194619941.6641</v>
      </c>
      <c r="BI81" s="48">
        <v>3031609996.2300005</v>
      </c>
      <c r="BJ81" s="48">
        <v>0</v>
      </c>
      <c r="BK81" s="48">
        <v>3723276301.3600001</v>
      </c>
      <c r="BL81" s="48">
        <v>-891101421.69999981</v>
      </c>
      <c r="BM81" s="48">
        <v>0</v>
      </c>
      <c r="BN81" s="48">
        <v>0</v>
      </c>
      <c r="BO81" s="48">
        <v>0</v>
      </c>
      <c r="BP81" s="48">
        <v>199435116.57000002</v>
      </c>
      <c r="BQ81" s="48">
        <v>2001816308961.9998</v>
      </c>
      <c r="BR81" s="48">
        <v>143177491.91000003</v>
      </c>
      <c r="BS81" s="48">
        <v>0</v>
      </c>
      <c r="BT81" s="48">
        <v>121239523.23</v>
      </c>
      <c r="BU81" s="48">
        <v>2001551891946.8599</v>
      </c>
      <c r="BV81" s="48">
        <v>0</v>
      </c>
      <c r="BW81" s="48">
        <v>0</v>
      </c>
      <c r="BX81" s="48">
        <v>2833612.98</v>
      </c>
      <c r="BY81" s="48">
        <v>2833612.98</v>
      </c>
      <c r="BZ81" s="48">
        <v>0</v>
      </c>
      <c r="CA81" s="48">
        <v>0</v>
      </c>
      <c r="CB81" s="48">
        <v>0</v>
      </c>
      <c r="CC81" s="48">
        <v>0</v>
      </c>
      <c r="CD81" s="48">
        <v>0</v>
      </c>
      <c r="CE81" s="48">
        <v>669417741.66999984</v>
      </c>
      <c r="CF81" s="48">
        <v>669417741.77999985</v>
      </c>
      <c r="CG81" s="48">
        <v>-0.11</v>
      </c>
      <c r="CH81" s="48">
        <v>0</v>
      </c>
      <c r="CI81" s="48">
        <v>0</v>
      </c>
      <c r="CJ81" s="48">
        <v>180912681499.93408</v>
      </c>
      <c r="CK81" s="48">
        <v>11884235644.550016</v>
      </c>
      <c r="CL81" s="48">
        <v>0</v>
      </c>
      <c r="CM81" s="48">
        <v>149150840878.46988</v>
      </c>
      <c r="CN81" s="48">
        <v>2330231784.1141901</v>
      </c>
      <c r="CO81" s="48">
        <v>0</v>
      </c>
      <c r="CP81" s="48">
        <v>17547373192.799999</v>
      </c>
      <c r="CQ81" s="48">
        <v>71142360.729999989</v>
      </c>
      <c r="CR81" s="48">
        <v>0</v>
      </c>
      <c r="CS81" s="48">
        <v>0</v>
      </c>
      <c r="CT81" s="48">
        <v>71142360.729999989</v>
      </c>
      <c r="CU81" s="48">
        <v>4316762125.9399986</v>
      </c>
      <c r="CV81" s="48">
        <v>3546695612.4499998</v>
      </c>
      <c r="CW81" s="48">
        <v>770066513.49000001</v>
      </c>
      <c r="CX81" s="48">
        <v>21793395173.269997</v>
      </c>
      <c r="CY81" s="48">
        <v>125296407.63</v>
      </c>
      <c r="CZ81" s="48">
        <v>0</v>
      </c>
      <c r="DA81" s="48">
        <v>21668098765.639999</v>
      </c>
      <c r="DB81" s="48">
        <v>2580468468.9099998</v>
      </c>
      <c r="DC81" s="48">
        <v>2285319752.0599999</v>
      </c>
      <c r="DD81" s="48">
        <v>295148716.84999996</v>
      </c>
      <c r="DE81" s="48">
        <v>511902307661.53821</v>
      </c>
      <c r="DF81" s="48">
        <v>80312089901.050003</v>
      </c>
      <c r="DG81" s="48">
        <v>80140366884.869995</v>
      </c>
      <c r="DH81" s="48">
        <v>-18348232</v>
      </c>
      <c r="DI81" s="48">
        <v>144972440.27000001</v>
      </c>
      <c r="DJ81" s="48">
        <v>0</v>
      </c>
      <c r="DK81" s="48">
        <v>45098807.909999996</v>
      </c>
      <c r="DL81" s="48">
        <v>6882860809.75</v>
      </c>
      <c r="DM81" s="48">
        <v>1735791928.5300002</v>
      </c>
      <c r="DN81" s="48">
        <v>0</v>
      </c>
      <c r="DO81" s="48">
        <v>152751617</v>
      </c>
      <c r="DP81" s="48">
        <v>0</v>
      </c>
      <c r="DQ81" s="48">
        <v>4994317264.2200003</v>
      </c>
      <c r="DR81" s="48">
        <v>255379725163.14005</v>
      </c>
      <c r="DS81" s="48">
        <v>14178883029.240002</v>
      </c>
      <c r="DT81" s="48">
        <v>4102033880.3299999</v>
      </c>
      <c r="DU81" s="48">
        <v>179680326617.44</v>
      </c>
      <c r="DV81" s="48">
        <v>5348066188.9800005</v>
      </c>
      <c r="DW81" s="48">
        <v>47268097776.840012</v>
      </c>
      <c r="DX81" s="48">
        <v>4802317670.3100004</v>
      </c>
      <c r="DY81" s="48">
        <v>69262447328.000305</v>
      </c>
      <c r="DZ81" s="48">
        <v>69262447328.000305</v>
      </c>
      <c r="EA81" s="48">
        <v>-3503157215.9700623</v>
      </c>
      <c r="EB81" s="48">
        <v>-3503157215.9700623</v>
      </c>
      <c r="EC81" s="48">
        <v>103568341675.56793</v>
      </c>
      <c r="ED81" s="48">
        <v>104127407940.24792</v>
      </c>
      <c r="EE81" s="48">
        <v>-559066264.67999434</v>
      </c>
      <c r="EF81" s="48">
        <v>0</v>
      </c>
      <c r="EG81" s="51"/>
      <c r="EH81" s="51"/>
      <c r="EI81" s="51"/>
    </row>
    <row r="82" spans="1:139">
      <c r="A82" s="49" t="s">
        <v>23</v>
      </c>
      <c r="B82" s="50"/>
      <c r="C82" s="42" t="s">
        <v>423</v>
      </c>
      <c r="D82" s="48">
        <v>1654471217888.3301</v>
      </c>
      <c r="E82" s="48">
        <v>23480173666.490002</v>
      </c>
      <c r="F82" s="48">
        <v>4760868.209999999</v>
      </c>
      <c r="G82" s="48">
        <v>2183030584.71</v>
      </c>
      <c r="H82" s="48">
        <v>-531367591.54000008</v>
      </c>
      <c r="I82" s="48">
        <v>0</v>
      </c>
      <c r="J82" s="48">
        <v>0</v>
      </c>
      <c r="K82" s="48">
        <v>0</v>
      </c>
      <c r="L82" s="48">
        <v>0</v>
      </c>
      <c r="M82" s="48">
        <v>21823749805.110001</v>
      </c>
      <c r="N82" s="48">
        <v>536932549464.31647</v>
      </c>
      <c r="O82" s="48">
        <v>93435552159.318451</v>
      </c>
      <c r="P82" s="48">
        <v>3833028988.1598687</v>
      </c>
      <c r="Q82" s="48">
        <v>408626681.01999998</v>
      </c>
      <c r="R82" s="48">
        <v>425353343974.97021</v>
      </c>
      <c r="S82" s="48">
        <v>14481575648.007872</v>
      </c>
      <c r="T82" s="48">
        <v>-579577987.16000009</v>
      </c>
      <c r="U82" s="48">
        <v>9750090729.9461975</v>
      </c>
      <c r="V82" s="48">
        <v>8364454418.5561962</v>
      </c>
      <c r="W82" s="48">
        <v>0</v>
      </c>
      <c r="X82" s="48">
        <v>4855516.96</v>
      </c>
      <c r="Y82" s="48">
        <v>37681423.57</v>
      </c>
      <c r="Z82" s="48">
        <v>230370356.51000002</v>
      </c>
      <c r="AA82" s="48">
        <v>1112729014.3500001</v>
      </c>
      <c r="AB82" s="48">
        <v>26558512486.468842</v>
      </c>
      <c r="AC82" s="48">
        <v>1902079271.3499999</v>
      </c>
      <c r="AD82" s="48">
        <v>7614362961.920001</v>
      </c>
      <c r="AE82" s="48">
        <v>17239982187.608833</v>
      </c>
      <c r="AF82" s="48">
        <v>-197911934.41</v>
      </c>
      <c r="AG82" s="48">
        <v>984857781887.8053</v>
      </c>
      <c r="AH82" s="48">
        <v>500180670193.13953</v>
      </c>
      <c r="AI82" s="48">
        <v>18177049593.630005</v>
      </c>
      <c r="AJ82" s="48">
        <v>57002471150.350105</v>
      </c>
      <c r="AK82" s="48">
        <v>405080250374.57556</v>
      </c>
      <c r="AL82" s="48">
        <v>3313690748.2800007</v>
      </c>
      <c r="AM82" s="48">
        <v>1103649827.8300002</v>
      </c>
      <c r="AN82" s="48">
        <v>33744270126.225052</v>
      </c>
      <c r="AO82" s="48">
        <v>13006005102.795052</v>
      </c>
      <c r="AP82" s="48">
        <v>1730111231.6800017</v>
      </c>
      <c r="AQ82" s="48">
        <v>0</v>
      </c>
      <c r="AR82" s="48">
        <v>322386558.35000002</v>
      </c>
      <c r="AS82" s="48">
        <v>41646946296.669998</v>
      </c>
      <c r="AT82" s="48">
        <v>-22963906189.919998</v>
      </c>
      <c r="AU82" s="48">
        <v>2727126.65</v>
      </c>
      <c r="AV82" s="48">
        <v>20322602299.919998</v>
      </c>
      <c r="AW82" s="48">
        <v>168578035.56999999</v>
      </c>
      <c r="AX82" s="48">
        <v>0</v>
      </c>
      <c r="AY82" s="48">
        <v>20154024264.349998</v>
      </c>
      <c r="AZ82" s="48">
        <v>17673030392.239983</v>
      </c>
      <c r="BA82" s="48">
        <v>23665786172.519997</v>
      </c>
      <c r="BB82" s="48">
        <v>4392076757.4299927</v>
      </c>
      <c r="BC82" s="48">
        <v>-10384832537.710001</v>
      </c>
      <c r="BD82" s="48">
        <v>1152206834.9183874</v>
      </c>
      <c r="BE82" s="48">
        <v>418959622.45999998</v>
      </c>
      <c r="BF82" s="48">
        <v>4.3600000000001273</v>
      </c>
      <c r="BG82" s="48">
        <v>733247208.09838736</v>
      </c>
      <c r="BH82" s="48">
        <v>2215194619941.6641</v>
      </c>
      <c r="BI82" s="48">
        <v>3031609996.2300005</v>
      </c>
      <c r="BJ82" s="48">
        <v>0</v>
      </c>
      <c r="BK82" s="48">
        <v>3723276301.3600001</v>
      </c>
      <c r="BL82" s="48">
        <v>-891101421.69999981</v>
      </c>
      <c r="BM82" s="48">
        <v>0</v>
      </c>
      <c r="BN82" s="48">
        <v>0</v>
      </c>
      <c r="BO82" s="48">
        <v>0</v>
      </c>
      <c r="BP82" s="48">
        <v>199435116.57000002</v>
      </c>
      <c r="BQ82" s="48">
        <v>2001816308961.9998</v>
      </c>
      <c r="BR82" s="48">
        <v>143177491.91000003</v>
      </c>
      <c r="BS82" s="48">
        <v>0</v>
      </c>
      <c r="BT82" s="48">
        <v>121239523.23</v>
      </c>
      <c r="BU82" s="48">
        <v>2001551891946.8599</v>
      </c>
      <c r="BV82" s="48">
        <v>0</v>
      </c>
      <c r="BW82" s="48">
        <v>0</v>
      </c>
      <c r="BX82" s="48">
        <v>2833612.98</v>
      </c>
      <c r="BY82" s="48">
        <v>2833612.98</v>
      </c>
      <c r="BZ82" s="48">
        <v>0</v>
      </c>
      <c r="CA82" s="48">
        <v>0</v>
      </c>
      <c r="CB82" s="48">
        <v>0</v>
      </c>
      <c r="CC82" s="48">
        <v>0</v>
      </c>
      <c r="CD82" s="48">
        <v>0</v>
      </c>
      <c r="CE82" s="48">
        <v>669417741.66999984</v>
      </c>
      <c r="CF82" s="48">
        <v>669417741.77999985</v>
      </c>
      <c r="CG82" s="48">
        <v>-0.11</v>
      </c>
      <c r="CH82" s="48">
        <v>0</v>
      </c>
      <c r="CI82" s="48">
        <v>0</v>
      </c>
      <c r="CJ82" s="48">
        <v>180912681499.93408</v>
      </c>
      <c r="CK82" s="48">
        <v>11884235644.550016</v>
      </c>
      <c r="CL82" s="48">
        <v>0</v>
      </c>
      <c r="CM82" s="48">
        <v>149150840878.46988</v>
      </c>
      <c r="CN82" s="48">
        <v>2330231784.1141901</v>
      </c>
      <c r="CO82" s="48">
        <v>0</v>
      </c>
      <c r="CP82" s="48">
        <v>17547373192.799999</v>
      </c>
      <c r="CQ82" s="48">
        <v>71142360.729999989</v>
      </c>
      <c r="CR82" s="48">
        <v>0</v>
      </c>
      <c r="CS82" s="48">
        <v>0</v>
      </c>
      <c r="CT82" s="48">
        <v>71142360.729999989</v>
      </c>
      <c r="CU82" s="48">
        <v>4316762125.9399986</v>
      </c>
      <c r="CV82" s="48">
        <v>3546695612.4499998</v>
      </c>
      <c r="CW82" s="48">
        <v>770066513.49000001</v>
      </c>
      <c r="CX82" s="48">
        <v>21793395173.269997</v>
      </c>
      <c r="CY82" s="48">
        <v>125296407.63</v>
      </c>
      <c r="CZ82" s="48">
        <v>0</v>
      </c>
      <c r="DA82" s="48">
        <v>21668098765.639999</v>
      </c>
      <c r="DB82" s="48">
        <v>2580468468.9099998</v>
      </c>
      <c r="DC82" s="48">
        <v>2285319752.0599999</v>
      </c>
      <c r="DD82" s="48">
        <v>295148716.84999996</v>
      </c>
      <c r="DE82" s="48">
        <v>511902307661.53821</v>
      </c>
      <c r="DF82" s="48">
        <v>80312089901.050003</v>
      </c>
      <c r="DG82" s="48">
        <v>80140366884.869995</v>
      </c>
      <c r="DH82" s="48">
        <v>-18348232</v>
      </c>
      <c r="DI82" s="48">
        <v>144972440.27000001</v>
      </c>
      <c r="DJ82" s="48">
        <v>0</v>
      </c>
      <c r="DK82" s="48">
        <v>45098807.909999996</v>
      </c>
      <c r="DL82" s="48">
        <v>6882860809.75</v>
      </c>
      <c r="DM82" s="48">
        <v>1735791928.5300002</v>
      </c>
      <c r="DN82" s="48">
        <v>0</v>
      </c>
      <c r="DO82" s="48">
        <v>152751617</v>
      </c>
      <c r="DP82" s="48">
        <v>0</v>
      </c>
      <c r="DQ82" s="48">
        <v>4994317264.2200003</v>
      </c>
      <c r="DR82" s="48">
        <v>255379725163.14005</v>
      </c>
      <c r="DS82" s="48">
        <v>14178883029.240002</v>
      </c>
      <c r="DT82" s="48">
        <v>4102033880.3299999</v>
      </c>
      <c r="DU82" s="48">
        <v>179680326617.44</v>
      </c>
      <c r="DV82" s="48">
        <v>5348066188.9800005</v>
      </c>
      <c r="DW82" s="48">
        <v>47268097776.840012</v>
      </c>
      <c r="DX82" s="48">
        <v>4802317670.3100004</v>
      </c>
      <c r="DY82" s="48">
        <v>69262447328.000305</v>
      </c>
      <c r="DZ82" s="48">
        <v>69262447328.000305</v>
      </c>
      <c r="EA82" s="48">
        <v>-3503157215.9700623</v>
      </c>
      <c r="EB82" s="48">
        <v>-3503157215.9700623</v>
      </c>
      <c r="EC82" s="48">
        <v>103568341675.56793</v>
      </c>
      <c r="ED82" s="48">
        <v>104127407940.24792</v>
      </c>
      <c r="EE82" s="48">
        <v>-559066264.67999434</v>
      </c>
      <c r="EF82" s="48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1F35-743B-465C-95C8-3A0CC387ED76}">
  <dimension ref="A1:AG82"/>
  <sheetViews>
    <sheetView showGridLines="0" zoomScale="80" zoomScaleNormal="80" workbookViewId="0">
      <pane xSplit="3" ySplit="6" topLeftCell="D7" activePane="bottomRight" state="frozen"/>
      <selection activeCell="E3" sqref="E3:F3"/>
      <selection pane="topRight" activeCell="E3" sqref="E3:F3"/>
      <selection pane="bottomLeft" activeCell="E3" sqref="E3:F3"/>
      <selection pane="bottomRight" activeCell="D7" sqref="D7"/>
    </sheetView>
  </sheetViews>
  <sheetFormatPr defaultColWidth="9.140625" defaultRowHeight="12.75"/>
  <cols>
    <col min="1" max="1" width="58.7109375" style="5" customWidth="1"/>
    <col min="2" max="3" width="15.7109375" style="5" customWidth="1"/>
    <col min="4" max="4" width="17.42578125" style="5" bestFit="1" customWidth="1"/>
    <col min="5" max="13" width="15.7109375" style="5" customWidth="1"/>
    <col min="14" max="14" width="17.42578125" style="5" bestFit="1" customWidth="1"/>
    <col min="15" max="15" width="15.7109375" style="5" customWidth="1"/>
    <col min="16" max="16" width="17.42578125" style="5" bestFit="1" customWidth="1"/>
    <col min="17" max="30" width="15.7109375" style="5" customWidth="1"/>
    <col min="31" max="16384" width="9.140625" style="5"/>
  </cols>
  <sheetData>
    <row r="1" spans="1:33" s="36" customFormat="1" ht="15" customHeight="1">
      <c r="A1" s="33" t="s">
        <v>308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3" s="36" customFormat="1" ht="15" customHeight="1">
      <c r="A2" s="33" t="s">
        <v>522</v>
      </c>
      <c r="B2" s="34" t="s">
        <v>310</v>
      </c>
      <c r="C2" s="34"/>
      <c r="D2" s="34"/>
      <c r="E2" s="34"/>
      <c r="F2" s="34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pans="1:33" s="36" customFormat="1" ht="15" customHeight="1">
      <c r="A3" s="33" t="s">
        <v>311</v>
      </c>
      <c r="B3" s="34" t="s">
        <v>310</v>
      </c>
      <c r="C3" s="34"/>
      <c r="D3" s="34"/>
      <c r="E3" s="34"/>
      <c r="F3" s="34"/>
      <c r="G3" s="34"/>
      <c r="H3" s="34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</row>
    <row r="4" spans="1:33" ht="15" customHeight="1"/>
    <row r="5" spans="1:33" ht="22.5" customHeight="1">
      <c r="D5" s="37">
        <v>3</v>
      </c>
      <c r="E5" s="1">
        <v>30</v>
      </c>
      <c r="F5" s="1">
        <v>32</v>
      </c>
      <c r="G5" s="1">
        <v>33</v>
      </c>
      <c r="H5" s="1">
        <v>34</v>
      </c>
      <c r="I5" s="1">
        <v>35</v>
      </c>
      <c r="J5" s="1">
        <v>36</v>
      </c>
      <c r="K5" s="1">
        <v>37</v>
      </c>
      <c r="L5" s="1">
        <v>38</v>
      </c>
      <c r="M5" s="1">
        <v>39</v>
      </c>
      <c r="N5" s="55">
        <v>4</v>
      </c>
      <c r="O5" s="1">
        <v>40</v>
      </c>
      <c r="P5" s="1">
        <v>42</v>
      </c>
      <c r="Q5" s="1">
        <v>43</v>
      </c>
      <c r="R5" s="1">
        <v>44</v>
      </c>
      <c r="S5" s="1">
        <v>45</v>
      </c>
      <c r="T5" s="1">
        <v>46</v>
      </c>
      <c r="U5" s="1">
        <v>47</v>
      </c>
      <c r="V5" s="1">
        <v>48</v>
      </c>
      <c r="W5" s="1">
        <v>49</v>
      </c>
      <c r="X5" s="55">
        <v>5</v>
      </c>
      <c r="Y5" s="1">
        <v>50</v>
      </c>
      <c r="Z5" s="1">
        <v>52</v>
      </c>
      <c r="AA5" s="1">
        <v>54</v>
      </c>
      <c r="AB5" s="1">
        <v>57</v>
      </c>
      <c r="AC5" s="1">
        <v>58</v>
      </c>
      <c r="AD5" s="1">
        <v>59</v>
      </c>
      <c r="AE5" s="51"/>
      <c r="AF5" s="51"/>
      <c r="AG5" s="51"/>
    </row>
    <row r="6" spans="1:33" ht="80.099999999999994" customHeight="1">
      <c r="A6" s="39" t="s">
        <v>312</v>
      </c>
      <c r="B6" s="39" t="s">
        <v>313</v>
      </c>
      <c r="C6" s="39" t="s">
        <v>314</v>
      </c>
      <c r="D6" s="37" t="s">
        <v>426</v>
      </c>
      <c r="E6" s="1" t="s">
        <v>427</v>
      </c>
      <c r="F6" s="1" t="s">
        <v>436</v>
      </c>
      <c r="G6" s="1" t="s">
        <v>443</v>
      </c>
      <c r="H6" s="1" t="s">
        <v>450</v>
      </c>
      <c r="I6" s="1" t="s">
        <v>455</v>
      </c>
      <c r="J6" s="1" t="s">
        <v>462</v>
      </c>
      <c r="K6" s="1" t="s">
        <v>470</v>
      </c>
      <c r="L6" s="1" t="s">
        <v>474</v>
      </c>
      <c r="M6" s="1" t="s">
        <v>478</v>
      </c>
      <c r="N6" s="55" t="s">
        <v>482</v>
      </c>
      <c r="O6" s="1" t="s">
        <v>427</v>
      </c>
      <c r="P6" s="1" t="s">
        <v>436</v>
      </c>
      <c r="Q6" s="1" t="s">
        <v>486</v>
      </c>
      <c r="R6" s="1" t="s">
        <v>450</v>
      </c>
      <c r="S6" s="1" t="s">
        <v>455</v>
      </c>
      <c r="T6" s="1" t="s">
        <v>487</v>
      </c>
      <c r="U6" s="1" t="s">
        <v>470</v>
      </c>
      <c r="V6" s="1" t="s">
        <v>491</v>
      </c>
      <c r="W6" s="1" t="s">
        <v>494</v>
      </c>
      <c r="X6" s="55" t="s">
        <v>496</v>
      </c>
      <c r="Y6" s="1" t="s">
        <v>497</v>
      </c>
      <c r="Z6" s="1" t="s">
        <v>503</v>
      </c>
      <c r="AA6" s="1" t="s">
        <v>509</v>
      </c>
      <c r="AB6" s="1" t="s">
        <v>516</v>
      </c>
      <c r="AC6" s="1" t="s">
        <v>517</v>
      </c>
      <c r="AD6" s="1" t="s">
        <v>519</v>
      </c>
      <c r="AE6" s="51"/>
      <c r="AF6" s="51"/>
      <c r="AG6" s="51"/>
    </row>
    <row r="7" spans="1:33" ht="12.75" customHeight="1">
      <c r="A7" s="40" t="s">
        <v>0</v>
      </c>
      <c r="B7" s="41">
        <v>1001</v>
      </c>
      <c r="C7" s="42" t="s">
        <v>415</v>
      </c>
      <c r="D7" s="43">
        <v>2861050542.0899987</v>
      </c>
      <c r="E7" s="43">
        <v>9296401.9100000001</v>
      </c>
      <c r="F7" s="43">
        <v>797507150.75</v>
      </c>
      <c r="G7" s="43">
        <v>37905119.620000005</v>
      </c>
      <c r="H7" s="43">
        <v>43451979.060000002</v>
      </c>
      <c r="I7" s="43">
        <v>1736705191.9399991</v>
      </c>
      <c r="J7" s="43">
        <v>108955810.47</v>
      </c>
      <c r="K7" s="43">
        <v>0</v>
      </c>
      <c r="L7" s="43">
        <v>127228888.34</v>
      </c>
      <c r="M7" s="43">
        <v>0</v>
      </c>
      <c r="N7" s="43">
        <v>35258683.310000002</v>
      </c>
      <c r="O7" s="43">
        <v>10896335.830000002</v>
      </c>
      <c r="P7" s="43">
        <v>0</v>
      </c>
      <c r="Q7" s="43">
        <v>0</v>
      </c>
      <c r="R7" s="43">
        <v>0</v>
      </c>
      <c r="S7" s="43">
        <v>15058392.800000001</v>
      </c>
      <c r="T7" s="43">
        <v>0</v>
      </c>
      <c r="U7" s="43">
        <v>9303954.6799999997</v>
      </c>
      <c r="V7" s="43">
        <v>0</v>
      </c>
      <c r="W7" s="43">
        <v>0</v>
      </c>
      <c r="X7" s="43">
        <v>1635713738.2299995</v>
      </c>
      <c r="Y7" s="43">
        <v>139347558.31</v>
      </c>
      <c r="Z7" s="43">
        <v>0</v>
      </c>
      <c r="AA7" s="43">
        <v>184288859.31</v>
      </c>
      <c r="AB7" s="43">
        <v>1305023210.4200001</v>
      </c>
      <c r="AC7" s="43">
        <v>0</v>
      </c>
      <c r="AD7" s="43">
        <v>7054110.1899994668</v>
      </c>
      <c r="AE7" s="51"/>
      <c r="AF7" s="51"/>
      <c r="AG7" s="51"/>
    </row>
    <row r="8" spans="1:33" ht="12.75" customHeight="1">
      <c r="A8" s="40" t="s">
        <v>27</v>
      </c>
      <c r="B8" s="41">
        <v>1003</v>
      </c>
      <c r="C8" s="42" t="s">
        <v>415</v>
      </c>
      <c r="D8" s="43">
        <v>30882257064.250004</v>
      </c>
      <c r="E8" s="43">
        <v>46285840.409999982</v>
      </c>
      <c r="F8" s="43">
        <v>5769632300.79</v>
      </c>
      <c r="G8" s="43">
        <v>206354017.74000001</v>
      </c>
      <c r="H8" s="43">
        <v>928686711.83000088</v>
      </c>
      <c r="I8" s="43">
        <v>21077222330.850002</v>
      </c>
      <c r="J8" s="43">
        <v>273568865.63</v>
      </c>
      <c r="K8" s="43">
        <v>532841140.99999994</v>
      </c>
      <c r="L8" s="43">
        <v>2047665856</v>
      </c>
      <c r="M8" s="43">
        <v>0</v>
      </c>
      <c r="N8" s="43">
        <v>644754278.96000016</v>
      </c>
      <c r="O8" s="43">
        <v>185774022.89000002</v>
      </c>
      <c r="P8" s="43">
        <v>0</v>
      </c>
      <c r="Q8" s="43">
        <v>0</v>
      </c>
      <c r="R8" s="43">
        <v>0</v>
      </c>
      <c r="S8" s="43">
        <v>406713106.80000013</v>
      </c>
      <c r="T8" s="43">
        <v>0</v>
      </c>
      <c r="U8" s="43">
        <v>52267149.270000003</v>
      </c>
      <c r="V8" s="43">
        <v>0</v>
      </c>
      <c r="W8" s="43">
        <v>0</v>
      </c>
      <c r="X8" s="43">
        <v>8586827283.1899986</v>
      </c>
      <c r="Y8" s="43">
        <v>1612000000</v>
      </c>
      <c r="Z8" s="43">
        <v>3463617.33</v>
      </c>
      <c r="AA8" s="43">
        <v>4518643567.1199999</v>
      </c>
      <c r="AB8" s="43">
        <v>1434228854.77</v>
      </c>
      <c r="AC8" s="43">
        <v>0</v>
      </c>
      <c r="AD8" s="43">
        <v>1018491243.9699994</v>
      </c>
      <c r="AE8" s="51"/>
      <c r="AF8" s="51"/>
      <c r="AG8" s="51"/>
    </row>
    <row r="9" spans="1:33" ht="12.75" customHeight="1">
      <c r="A9" s="40" t="s">
        <v>28</v>
      </c>
      <c r="B9" s="41">
        <v>1004</v>
      </c>
      <c r="C9" s="42" t="s">
        <v>415</v>
      </c>
      <c r="D9" s="43">
        <v>131531849074.10001</v>
      </c>
      <c r="E9" s="43">
        <v>82277733.120000005</v>
      </c>
      <c r="F9" s="43">
        <v>4781139937.7500038</v>
      </c>
      <c r="G9" s="43">
        <v>105581057.91</v>
      </c>
      <c r="H9" s="43">
        <v>937534840.41000009</v>
      </c>
      <c r="I9" s="43">
        <v>117843572744.00002</v>
      </c>
      <c r="J9" s="43">
        <v>4815276273.0299988</v>
      </c>
      <c r="K9" s="43">
        <v>1618930350.51</v>
      </c>
      <c r="L9" s="43">
        <v>1347536137.3700001</v>
      </c>
      <c r="M9" s="43">
        <v>0</v>
      </c>
      <c r="N9" s="43">
        <v>1327909725.1100001</v>
      </c>
      <c r="O9" s="43">
        <v>42263629.68</v>
      </c>
      <c r="P9" s="43">
        <v>0</v>
      </c>
      <c r="Q9" s="43">
        <v>0</v>
      </c>
      <c r="R9" s="43">
        <v>369600218.87</v>
      </c>
      <c r="S9" s="43">
        <v>651437958.04000008</v>
      </c>
      <c r="T9" s="43">
        <v>0</v>
      </c>
      <c r="U9" s="43">
        <v>264607918.51999998</v>
      </c>
      <c r="V9" s="43">
        <v>0</v>
      </c>
      <c r="W9" s="43">
        <v>0</v>
      </c>
      <c r="X9" s="43">
        <v>63650933884.780045</v>
      </c>
      <c r="Y9" s="43">
        <v>647642916.24000001</v>
      </c>
      <c r="Z9" s="43">
        <v>835013704.54999995</v>
      </c>
      <c r="AA9" s="43">
        <v>50811094605.300003</v>
      </c>
      <c r="AB9" s="43">
        <v>220496401.25999999</v>
      </c>
      <c r="AC9" s="43">
        <v>0</v>
      </c>
      <c r="AD9" s="43">
        <v>11136686257.430035</v>
      </c>
      <c r="AE9" s="51"/>
      <c r="AF9" s="51"/>
      <c r="AG9" s="51"/>
    </row>
    <row r="10" spans="1:33" ht="12.75" customHeight="1">
      <c r="A10" s="40" t="s">
        <v>31</v>
      </c>
      <c r="B10" s="41">
        <v>1005</v>
      </c>
      <c r="C10" s="42" t="s">
        <v>415</v>
      </c>
      <c r="D10" s="43">
        <v>102221003788.79915</v>
      </c>
      <c r="E10" s="43">
        <v>81489648.600001007</v>
      </c>
      <c r="F10" s="43">
        <v>14703001499.069996</v>
      </c>
      <c r="G10" s="43">
        <v>2747374.8099999996</v>
      </c>
      <c r="H10" s="43">
        <v>1329649255.899617</v>
      </c>
      <c r="I10" s="43">
        <v>82395051067.389496</v>
      </c>
      <c r="J10" s="43">
        <v>1202244526.7400699</v>
      </c>
      <c r="K10" s="43">
        <v>0</v>
      </c>
      <c r="L10" s="43">
        <v>2376666004.5299888</v>
      </c>
      <c r="M10" s="43">
        <v>130154411.76000001</v>
      </c>
      <c r="N10" s="43">
        <v>2999495580.9900002</v>
      </c>
      <c r="O10" s="43">
        <v>135414800.56999999</v>
      </c>
      <c r="P10" s="43">
        <v>0</v>
      </c>
      <c r="Q10" s="43">
        <v>0</v>
      </c>
      <c r="R10" s="43">
        <v>0</v>
      </c>
      <c r="S10" s="43">
        <v>2416774566.5</v>
      </c>
      <c r="T10" s="43">
        <v>0</v>
      </c>
      <c r="U10" s="43">
        <v>447306213.92000002</v>
      </c>
      <c r="V10" s="43">
        <v>0</v>
      </c>
      <c r="W10" s="43">
        <v>0</v>
      </c>
      <c r="X10" s="43">
        <v>46113562092.670868</v>
      </c>
      <c r="Y10" s="43">
        <v>2000000000</v>
      </c>
      <c r="Z10" s="43">
        <v>239479530.00999999</v>
      </c>
      <c r="AA10" s="43">
        <v>36083021588.759995</v>
      </c>
      <c r="AB10" s="43">
        <v>420355968.50999999</v>
      </c>
      <c r="AC10" s="43">
        <v>0</v>
      </c>
      <c r="AD10" s="43">
        <v>7370705005.390871</v>
      </c>
      <c r="AE10" s="51"/>
      <c r="AF10" s="51"/>
      <c r="AG10" s="51"/>
    </row>
    <row r="11" spans="1:33" ht="12.75" customHeight="1">
      <c r="A11" s="40" t="s">
        <v>34</v>
      </c>
      <c r="B11" s="41">
        <v>1006</v>
      </c>
      <c r="C11" s="42" t="s">
        <v>415</v>
      </c>
      <c r="D11" s="43">
        <v>21771225902.820004</v>
      </c>
      <c r="E11" s="43">
        <v>394739.74</v>
      </c>
      <c r="F11" s="43">
        <v>233592823.78999999</v>
      </c>
      <c r="G11" s="43">
        <v>11676799.09</v>
      </c>
      <c r="H11" s="43">
        <v>881742600.37000012</v>
      </c>
      <c r="I11" s="43">
        <v>19597011251.93</v>
      </c>
      <c r="J11" s="43">
        <v>840156954.33000004</v>
      </c>
      <c r="K11" s="43">
        <v>39640739.350000001</v>
      </c>
      <c r="L11" s="43">
        <v>167009994.22</v>
      </c>
      <c r="M11" s="43">
        <v>0</v>
      </c>
      <c r="N11" s="43">
        <v>247785961.03000003</v>
      </c>
      <c r="O11" s="43">
        <v>854245.28</v>
      </c>
      <c r="P11" s="43">
        <v>0</v>
      </c>
      <c r="Q11" s="43">
        <v>0</v>
      </c>
      <c r="R11" s="43">
        <v>0</v>
      </c>
      <c r="S11" s="43">
        <v>29320620.329999998</v>
      </c>
      <c r="T11" s="43">
        <v>0</v>
      </c>
      <c r="U11" s="43">
        <v>12684073.060000001</v>
      </c>
      <c r="V11" s="43">
        <v>0</v>
      </c>
      <c r="W11" s="43">
        <v>204927022.36000001</v>
      </c>
      <c r="X11" s="43">
        <v>7773033529.1700001</v>
      </c>
      <c r="Y11" s="43">
        <v>350000000</v>
      </c>
      <c r="Z11" s="43">
        <v>478495750.67000002</v>
      </c>
      <c r="AA11" s="43">
        <v>206160420.36999997</v>
      </c>
      <c r="AB11" s="43">
        <v>5416591632.2399998</v>
      </c>
      <c r="AC11" s="43">
        <v>0</v>
      </c>
      <c r="AD11" s="43">
        <v>1321785725.8900001</v>
      </c>
      <c r="AE11" s="51"/>
      <c r="AF11" s="51"/>
      <c r="AG11" s="51"/>
    </row>
    <row r="12" spans="1:33" ht="12.75" customHeight="1">
      <c r="A12" s="40" t="s">
        <v>37</v>
      </c>
      <c r="B12" s="41">
        <v>1007</v>
      </c>
      <c r="C12" s="42" t="s">
        <v>415</v>
      </c>
      <c r="D12" s="43">
        <v>1059581279.76</v>
      </c>
      <c r="E12" s="43">
        <v>5974674.2199999997</v>
      </c>
      <c r="F12" s="43">
        <v>108714050.55000001</v>
      </c>
      <c r="G12" s="43">
        <v>213322462.00999999</v>
      </c>
      <c r="H12" s="43">
        <v>0</v>
      </c>
      <c r="I12" s="43">
        <v>615223852.49000001</v>
      </c>
      <c r="J12" s="43">
        <v>18580161.280000009</v>
      </c>
      <c r="K12" s="43">
        <v>4824249.1600000011</v>
      </c>
      <c r="L12" s="43">
        <v>81980081.609999999</v>
      </c>
      <c r="M12" s="43">
        <v>10961748.440000001</v>
      </c>
      <c r="N12" s="43">
        <v>384126241.89999998</v>
      </c>
      <c r="O12" s="43">
        <v>24477157.449999999</v>
      </c>
      <c r="P12" s="43">
        <v>91266902.600000009</v>
      </c>
      <c r="Q12" s="43">
        <v>2833612.98</v>
      </c>
      <c r="R12" s="43">
        <v>0</v>
      </c>
      <c r="S12" s="43">
        <v>240405747.91</v>
      </c>
      <c r="T12" s="43">
        <v>0</v>
      </c>
      <c r="U12" s="43">
        <v>8710899.4699999988</v>
      </c>
      <c r="V12" s="43">
        <v>17223971.240000002</v>
      </c>
      <c r="W12" s="43">
        <v>-792049.75</v>
      </c>
      <c r="X12" s="43">
        <v>249037830.26999986</v>
      </c>
      <c r="Y12" s="43">
        <v>29255114.929999992</v>
      </c>
      <c r="Z12" s="43">
        <v>-1.862645149230957E-8</v>
      </c>
      <c r="AA12" s="43">
        <v>4002906.9299999997</v>
      </c>
      <c r="AB12" s="43">
        <v>176590185.58000001</v>
      </c>
      <c r="AC12" s="43">
        <v>-45230425.590000004</v>
      </c>
      <c r="AD12" s="43">
        <v>84420048.419999883</v>
      </c>
      <c r="AE12" s="51"/>
      <c r="AF12" s="51"/>
      <c r="AG12" s="51"/>
    </row>
    <row r="13" spans="1:33" ht="12.75" customHeight="1">
      <c r="A13" s="40" t="s">
        <v>40</v>
      </c>
      <c r="B13" s="41">
        <v>1008</v>
      </c>
      <c r="C13" s="42" t="s">
        <v>415</v>
      </c>
      <c r="D13" s="43">
        <v>24631316353.235809</v>
      </c>
      <c r="E13" s="43">
        <v>52785058.109999999</v>
      </c>
      <c r="F13" s="43">
        <v>663334040.68999994</v>
      </c>
      <c r="G13" s="43">
        <v>111083.36</v>
      </c>
      <c r="H13" s="43">
        <v>423199186.25999999</v>
      </c>
      <c r="I13" s="43">
        <v>22016438489.805809</v>
      </c>
      <c r="J13" s="43">
        <v>293651368.53000003</v>
      </c>
      <c r="K13" s="43">
        <v>991023742.38</v>
      </c>
      <c r="L13" s="43">
        <v>190771989.78999999</v>
      </c>
      <c r="M13" s="43">
        <v>1394.31</v>
      </c>
      <c r="N13" s="43">
        <v>2187298933.0541897</v>
      </c>
      <c r="O13" s="43">
        <v>118396215.66</v>
      </c>
      <c r="P13" s="43">
        <v>0</v>
      </c>
      <c r="Q13" s="43">
        <v>0</v>
      </c>
      <c r="R13" s="43">
        <v>0</v>
      </c>
      <c r="S13" s="43">
        <v>2048140943.7741899</v>
      </c>
      <c r="T13" s="43">
        <v>0</v>
      </c>
      <c r="U13" s="43">
        <v>20761773.620000001</v>
      </c>
      <c r="V13" s="43">
        <v>0</v>
      </c>
      <c r="W13" s="43">
        <v>0</v>
      </c>
      <c r="X13" s="43">
        <v>6023424598.7999992</v>
      </c>
      <c r="Y13" s="43">
        <v>270500000</v>
      </c>
      <c r="Z13" s="43">
        <v>72328017.939999998</v>
      </c>
      <c r="AA13" s="43">
        <v>766285963.62</v>
      </c>
      <c r="AB13" s="43">
        <v>3802718695.1599998</v>
      </c>
      <c r="AC13" s="43">
        <v>0</v>
      </c>
      <c r="AD13" s="43">
        <v>1111591922.0800002</v>
      </c>
      <c r="AE13" s="51"/>
      <c r="AF13" s="51"/>
      <c r="AG13" s="51"/>
    </row>
    <row r="14" spans="1:33" ht="12.75" customHeight="1">
      <c r="A14" s="40" t="s">
        <v>43</v>
      </c>
      <c r="B14" s="41">
        <v>1009</v>
      </c>
      <c r="C14" s="42" t="s">
        <v>415</v>
      </c>
      <c r="D14" s="43">
        <v>99646583761.290009</v>
      </c>
      <c r="E14" s="43">
        <v>54391485.850000001</v>
      </c>
      <c r="F14" s="43">
        <v>5094357751.21</v>
      </c>
      <c r="G14" s="43">
        <v>5225682.6099999994</v>
      </c>
      <c r="H14" s="43">
        <v>4337571167.8600006</v>
      </c>
      <c r="I14" s="43">
        <v>85386635552.340012</v>
      </c>
      <c r="J14" s="43">
        <v>2334469375.2299995</v>
      </c>
      <c r="K14" s="43">
        <v>828197156.94000006</v>
      </c>
      <c r="L14" s="43">
        <v>1520765788.3000002</v>
      </c>
      <c r="M14" s="43">
        <v>84969800.950000003</v>
      </c>
      <c r="N14" s="43">
        <v>3698766248.5400004</v>
      </c>
      <c r="O14" s="43">
        <v>126660303.11</v>
      </c>
      <c r="P14" s="43">
        <v>0</v>
      </c>
      <c r="Q14" s="43">
        <v>0</v>
      </c>
      <c r="R14" s="43">
        <v>0</v>
      </c>
      <c r="S14" s="43">
        <v>3497547383.4900002</v>
      </c>
      <c r="T14" s="43">
        <v>0</v>
      </c>
      <c r="U14" s="43">
        <v>74558561.849999994</v>
      </c>
      <c r="V14" s="43">
        <v>0</v>
      </c>
      <c r="W14" s="43">
        <v>0.09</v>
      </c>
      <c r="X14" s="43">
        <v>30862177505.23</v>
      </c>
      <c r="Y14" s="43">
        <v>5656380626.9200001</v>
      </c>
      <c r="Z14" s="43">
        <v>315067960.39999998</v>
      </c>
      <c r="AA14" s="43">
        <v>19057163687.57</v>
      </c>
      <c r="AB14" s="43">
        <v>-0.39</v>
      </c>
      <c r="AC14" s="43">
        <v>0</v>
      </c>
      <c r="AD14" s="43">
        <v>5833565230.7299995</v>
      </c>
      <c r="AE14" s="51"/>
      <c r="AF14" s="51"/>
      <c r="AG14" s="51"/>
    </row>
    <row r="15" spans="1:33" ht="12.75" customHeight="1">
      <c r="A15" s="40" t="s">
        <v>46</v>
      </c>
      <c r="B15" s="41">
        <v>1010</v>
      </c>
      <c r="C15" s="42" t="s">
        <v>415</v>
      </c>
      <c r="D15" s="43">
        <v>1537643662.7999988</v>
      </c>
      <c r="E15" s="43">
        <v>5131071.629999999</v>
      </c>
      <c r="F15" s="43">
        <v>13700161.679999994</v>
      </c>
      <c r="G15" s="43">
        <v>12371892.009999998</v>
      </c>
      <c r="H15" s="43">
        <v>14135171.429999948</v>
      </c>
      <c r="I15" s="43">
        <v>1182042272.7799993</v>
      </c>
      <c r="J15" s="43">
        <v>118808827.47999996</v>
      </c>
      <c r="K15" s="43">
        <v>190359041.95999968</v>
      </c>
      <c r="L15" s="43">
        <v>0</v>
      </c>
      <c r="M15" s="43">
        <v>1095223.8300000019</v>
      </c>
      <c r="N15" s="43">
        <v>8020978337.9900084</v>
      </c>
      <c r="O15" s="43">
        <v>813832.40999999992</v>
      </c>
      <c r="P15" s="43">
        <v>0</v>
      </c>
      <c r="Q15" s="43">
        <v>0</v>
      </c>
      <c r="R15" s="43">
        <v>0</v>
      </c>
      <c r="S15" s="43">
        <v>8016924235.0500088</v>
      </c>
      <c r="T15" s="43">
        <v>0</v>
      </c>
      <c r="U15" s="43">
        <v>3240270.5300000012</v>
      </c>
      <c r="V15" s="43">
        <v>0</v>
      </c>
      <c r="W15" s="43">
        <v>0</v>
      </c>
      <c r="X15" s="43">
        <v>3840367958.0999937</v>
      </c>
      <c r="Y15" s="43">
        <v>47936859</v>
      </c>
      <c r="Z15" s="43">
        <v>99586341.299999997</v>
      </c>
      <c r="AA15" s="43">
        <v>6317843.2100000381</v>
      </c>
      <c r="AB15" s="43">
        <v>2856426858.8000002</v>
      </c>
      <c r="AC15" s="43">
        <v>-283118.17</v>
      </c>
      <c r="AD15" s="43">
        <v>830383173.95999312</v>
      </c>
      <c r="AE15" s="51"/>
      <c r="AF15" s="51"/>
      <c r="AG15" s="51"/>
    </row>
    <row r="16" spans="1:33" ht="12.75" customHeight="1">
      <c r="A16" s="40" t="s">
        <v>49</v>
      </c>
      <c r="B16" s="41">
        <v>1011</v>
      </c>
      <c r="C16" s="42" t="s">
        <v>415</v>
      </c>
      <c r="D16" s="43">
        <v>1339346618.21</v>
      </c>
      <c r="E16" s="43">
        <v>15811850.579999998</v>
      </c>
      <c r="F16" s="43">
        <v>354779308.81999987</v>
      </c>
      <c r="G16" s="43">
        <v>7070359.7500000214</v>
      </c>
      <c r="H16" s="43">
        <v>4674567.45</v>
      </c>
      <c r="I16" s="43">
        <v>732712634.97000003</v>
      </c>
      <c r="J16" s="43">
        <v>15391382.130000001</v>
      </c>
      <c r="K16" s="43">
        <v>19156135.34</v>
      </c>
      <c r="L16" s="43">
        <v>189750379.17000002</v>
      </c>
      <c r="M16" s="43">
        <v>0</v>
      </c>
      <c r="N16" s="43">
        <v>447787646.34000003</v>
      </c>
      <c r="O16" s="43">
        <v>30605081.850000001</v>
      </c>
      <c r="P16" s="43">
        <v>0</v>
      </c>
      <c r="Q16" s="43">
        <v>0</v>
      </c>
      <c r="R16" s="43">
        <v>0</v>
      </c>
      <c r="S16" s="43">
        <v>412477875.49000001</v>
      </c>
      <c r="T16" s="43">
        <v>0</v>
      </c>
      <c r="U16" s="43">
        <v>4704689</v>
      </c>
      <c r="V16" s="43">
        <v>0</v>
      </c>
      <c r="W16" s="43">
        <v>0</v>
      </c>
      <c r="X16" s="43">
        <v>330216714.42993349</v>
      </c>
      <c r="Y16" s="43">
        <v>25318359</v>
      </c>
      <c r="Z16" s="43">
        <v>0</v>
      </c>
      <c r="AA16" s="43">
        <v>15645561.780000001</v>
      </c>
      <c r="AB16" s="43">
        <v>480561217.29000002</v>
      </c>
      <c r="AC16" s="43">
        <v>-30706197.220062301</v>
      </c>
      <c r="AD16" s="43">
        <v>-160602226.42000425</v>
      </c>
      <c r="AE16" s="51"/>
      <c r="AF16" s="51"/>
      <c r="AG16" s="51"/>
    </row>
    <row r="17" spans="1:33" ht="12.75" customHeight="1">
      <c r="A17" s="40" t="s">
        <v>3</v>
      </c>
      <c r="B17" s="41">
        <v>1012</v>
      </c>
      <c r="C17" s="42" t="s">
        <v>415</v>
      </c>
      <c r="D17" s="43">
        <v>12611698222.999996</v>
      </c>
      <c r="E17" s="43">
        <v>19540012.530000001</v>
      </c>
      <c r="F17" s="43">
        <v>751329188.87</v>
      </c>
      <c r="G17" s="43">
        <v>0</v>
      </c>
      <c r="H17" s="43">
        <v>235991527.53</v>
      </c>
      <c r="I17" s="43">
        <v>11395902762.669994</v>
      </c>
      <c r="J17" s="43">
        <v>71511379.75999999</v>
      </c>
      <c r="K17" s="43">
        <v>13648856.189999999</v>
      </c>
      <c r="L17" s="43">
        <v>123774495.45</v>
      </c>
      <c r="M17" s="43">
        <v>0</v>
      </c>
      <c r="N17" s="43">
        <v>459105404.09000003</v>
      </c>
      <c r="O17" s="43">
        <v>2359065.33</v>
      </c>
      <c r="P17" s="43">
        <v>0</v>
      </c>
      <c r="Q17" s="43">
        <v>0</v>
      </c>
      <c r="R17" s="43">
        <v>0</v>
      </c>
      <c r="S17" s="43">
        <v>356382722.95000005</v>
      </c>
      <c r="T17" s="43">
        <v>0</v>
      </c>
      <c r="U17" s="43">
        <v>5109761.2500000019</v>
      </c>
      <c r="V17" s="43">
        <v>0</v>
      </c>
      <c r="W17" s="43">
        <v>95253854.560000002</v>
      </c>
      <c r="X17" s="43">
        <v>6378810487.3099995</v>
      </c>
      <c r="Y17" s="43">
        <v>1170000000</v>
      </c>
      <c r="Z17" s="43">
        <v>0</v>
      </c>
      <c r="AA17" s="43">
        <v>4249840558.4699998</v>
      </c>
      <c r="AB17" s="43">
        <v>0</v>
      </c>
      <c r="AC17" s="43">
        <v>0</v>
      </c>
      <c r="AD17" s="43">
        <v>958969928.84000027</v>
      </c>
      <c r="AE17" s="51"/>
      <c r="AF17" s="51"/>
      <c r="AG17" s="51"/>
    </row>
    <row r="18" spans="1:33" ht="12.75" customHeight="1">
      <c r="A18" s="40" t="s">
        <v>5</v>
      </c>
      <c r="B18" s="41">
        <v>1013</v>
      </c>
      <c r="C18" s="42" t="s">
        <v>415</v>
      </c>
      <c r="D18" s="43">
        <v>2809279183.04</v>
      </c>
      <c r="E18" s="43">
        <v>19615736</v>
      </c>
      <c r="F18" s="43">
        <v>1552637342.0899999</v>
      </c>
      <c r="G18" s="43">
        <v>0</v>
      </c>
      <c r="H18" s="43">
        <v>8843257.1799999997</v>
      </c>
      <c r="I18" s="43">
        <v>966220054.52000022</v>
      </c>
      <c r="J18" s="43">
        <v>32736262.93</v>
      </c>
      <c r="K18" s="43">
        <v>31739728.16</v>
      </c>
      <c r="L18" s="43">
        <v>197486797.80000001</v>
      </c>
      <c r="M18" s="43">
        <v>4.3600000000001273</v>
      </c>
      <c r="N18" s="43">
        <v>98788485.170000002</v>
      </c>
      <c r="O18" s="43">
        <v>6013209</v>
      </c>
      <c r="P18" s="43">
        <v>0</v>
      </c>
      <c r="Q18" s="43">
        <v>0</v>
      </c>
      <c r="R18" s="43">
        <v>4378890.28</v>
      </c>
      <c r="S18" s="43">
        <v>80493843.890000001</v>
      </c>
      <c r="T18" s="43">
        <v>0</v>
      </c>
      <c r="U18" s="43">
        <v>7902542</v>
      </c>
      <c r="V18" s="43">
        <v>0</v>
      </c>
      <c r="W18" s="43">
        <v>0</v>
      </c>
      <c r="X18" s="43">
        <v>157646544.29999974</v>
      </c>
      <c r="Y18" s="43">
        <v>163900000</v>
      </c>
      <c r="Z18" s="43">
        <v>0</v>
      </c>
      <c r="AA18" s="43">
        <v>4106589.7199999997</v>
      </c>
      <c r="AB18" s="43">
        <v>132657025.87</v>
      </c>
      <c r="AC18" s="43">
        <v>-9252388.8000000007</v>
      </c>
      <c r="AD18" s="43">
        <v>-133764682.49000028</v>
      </c>
      <c r="AE18" s="51"/>
      <c r="AF18" s="51"/>
      <c r="AG18" s="51"/>
    </row>
    <row r="19" spans="1:33" ht="12.75" customHeight="1">
      <c r="A19" s="40" t="s">
        <v>56</v>
      </c>
      <c r="B19" s="41">
        <v>1016</v>
      </c>
      <c r="C19" s="42" t="s">
        <v>415</v>
      </c>
      <c r="D19" s="43">
        <v>804983569.67999971</v>
      </c>
      <c r="E19" s="43">
        <v>7982114.1999999993</v>
      </c>
      <c r="F19" s="43">
        <v>328363568.91999996</v>
      </c>
      <c r="G19" s="43">
        <v>27380221.449999999</v>
      </c>
      <c r="H19" s="43">
        <v>7852162.0500000007</v>
      </c>
      <c r="I19" s="43">
        <v>265884500.89999995</v>
      </c>
      <c r="J19" s="43">
        <v>29386657.309999999</v>
      </c>
      <c r="K19" s="43">
        <v>14945283.67</v>
      </c>
      <c r="L19" s="43">
        <v>123189061.17999999</v>
      </c>
      <c r="M19" s="43">
        <v>0</v>
      </c>
      <c r="N19" s="43">
        <v>118401018.32000004</v>
      </c>
      <c r="O19" s="43">
        <v>13282246.66</v>
      </c>
      <c r="P19" s="43">
        <v>0</v>
      </c>
      <c r="Q19" s="43">
        <v>0</v>
      </c>
      <c r="R19" s="43">
        <v>0</v>
      </c>
      <c r="S19" s="43">
        <v>95766756.900000036</v>
      </c>
      <c r="T19" s="43">
        <v>0</v>
      </c>
      <c r="U19" s="43">
        <v>9352014.7599999998</v>
      </c>
      <c r="V19" s="43">
        <v>0</v>
      </c>
      <c r="W19" s="43">
        <v>0</v>
      </c>
      <c r="X19" s="43">
        <v>536652264.55000043</v>
      </c>
      <c r="Y19" s="43">
        <v>198660000.40000001</v>
      </c>
      <c r="Z19" s="43">
        <v>0</v>
      </c>
      <c r="AA19" s="43">
        <v>5227219.79</v>
      </c>
      <c r="AB19" s="43">
        <v>289925590.94</v>
      </c>
      <c r="AC19" s="43">
        <v>-1933521.26</v>
      </c>
      <c r="AD19" s="43">
        <v>44772974.680000432</v>
      </c>
      <c r="AE19" s="51"/>
      <c r="AF19" s="51"/>
      <c r="AG19" s="51"/>
    </row>
    <row r="20" spans="1:33" ht="12.75" customHeight="1">
      <c r="A20" s="40" t="s">
        <v>59</v>
      </c>
      <c r="B20" s="41">
        <v>1017</v>
      </c>
      <c r="C20" s="42" t="s">
        <v>415</v>
      </c>
      <c r="D20" s="43">
        <v>20424791145.167793</v>
      </c>
      <c r="E20" s="43">
        <v>1219736.7</v>
      </c>
      <c r="F20" s="43">
        <v>3665794638.5033932</v>
      </c>
      <c r="G20" s="43">
        <v>33620180.566196002</v>
      </c>
      <c r="H20" s="43">
        <v>351572570.46820402</v>
      </c>
      <c r="I20" s="43">
        <v>14716902239.579998</v>
      </c>
      <c r="J20" s="43">
        <v>297328845.71999997</v>
      </c>
      <c r="K20" s="43">
        <v>589573896.67999995</v>
      </c>
      <c r="L20" s="43">
        <v>768779036.95000005</v>
      </c>
      <c r="M20" s="43">
        <v>0</v>
      </c>
      <c r="N20" s="43">
        <v>565843142.35000002</v>
      </c>
      <c r="O20" s="43">
        <v>6718382.79</v>
      </c>
      <c r="P20" s="43">
        <v>51910589.310000002</v>
      </c>
      <c r="Q20" s="43">
        <v>0</v>
      </c>
      <c r="R20" s="43">
        <v>9388120.5199999996</v>
      </c>
      <c r="S20" s="43">
        <v>312460922.43000007</v>
      </c>
      <c r="T20" s="43">
        <v>0</v>
      </c>
      <c r="U20" s="43">
        <v>77292690.909999996</v>
      </c>
      <c r="V20" s="43">
        <v>108072436.39</v>
      </c>
      <c r="W20" s="43">
        <v>0</v>
      </c>
      <c r="X20" s="43">
        <v>6351587597.4835911</v>
      </c>
      <c r="Y20" s="43">
        <v>60000000</v>
      </c>
      <c r="Z20" s="43">
        <v>683016870.98000002</v>
      </c>
      <c r="AA20" s="43">
        <v>-19874073.120000005</v>
      </c>
      <c r="AB20" s="43">
        <v>4578797206.54</v>
      </c>
      <c r="AC20" s="43">
        <v>0</v>
      </c>
      <c r="AD20" s="43">
        <v>1049647593.0835915</v>
      </c>
      <c r="AE20" s="51"/>
      <c r="AF20" s="51"/>
      <c r="AG20" s="51"/>
    </row>
    <row r="21" spans="1:33" ht="12.75" customHeight="1">
      <c r="A21" s="40" t="s">
        <v>7</v>
      </c>
      <c r="B21" s="41">
        <v>1018</v>
      </c>
      <c r="C21" s="42" t="s">
        <v>415</v>
      </c>
      <c r="D21" s="43">
        <v>8143534937.1500006</v>
      </c>
      <c r="E21" s="43">
        <v>4655304.41</v>
      </c>
      <c r="F21" s="43">
        <v>410041949.94</v>
      </c>
      <c r="G21" s="43">
        <v>-76300</v>
      </c>
      <c r="H21" s="43">
        <v>260536397.54000002</v>
      </c>
      <c r="I21" s="43">
        <v>7158395185.3100004</v>
      </c>
      <c r="J21" s="43">
        <v>257009088.35000002</v>
      </c>
      <c r="K21" s="43">
        <v>11785225.210000001</v>
      </c>
      <c r="L21" s="43">
        <v>40743387.229999997</v>
      </c>
      <c r="M21" s="43">
        <v>444699.16</v>
      </c>
      <c r="N21" s="43">
        <v>56612725.289999999</v>
      </c>
      <c r="O21" s="43">
        <v>35687033.810000002</v>
      </c>
      <c r="P21" s="43">
        <v>0</v>
      </c>
      <c r="Q21" s="43">
        <v>0</v>
      </c>
      <c r="R21" s="43">
        <v>0</v>
      </c>
      <c r="S21" s="43">
        <v>12782489.989999995</v>
      </c>
      <c r="T21" s="43">
        <v>0</v>
      </c>
      <c r="U21" s="43">
        <v>8143201.4900000002</v>
      </c>
      <c r="V21" s="43">
        <v>0</v>
      </c>
      <c r="W21" s="43">
        <v>0</v>
      </c>
      <c r="X21" s="43">
        <v>2497941520.9200001</v>
      </c>
      <c r="Y21" s="43">
        <v>1952000000</v>
      </c>
      <c r="Z21" s="43">
        <v>0</v>
      </c>
      <c r="AA21" s="43">
        <v>-15529669.100000001</v>
      </c>
      <c r="AB21" s="43">
        <v>123240321.77</v>
      </c>
      <c r="AC21" s="43">
        <v>0</v>
      </c>
      <c r="AD21" s="43">
        <v>438230868.25</v>
      </c>
      <c r="AE21" s="51"/>
      <c r="AF21" s="51"/>
      <c r="AG21" s="51"/>
    </row>
    <row r="22" spans="1:33" ht="12.75" customHeight="1">
      <c r="A22" s="40" t="s">
        <v>8</v>
      </c>
      <c r="B22" s="41">
        <v>1020</v>
      </c>
      <c r="C22" s="42" t="s">
        <v>415</v>
      </c>
      <c r="D22" s="43">
        <v>129485614598.74982</v>
      </c>
      <c r="E22" s="43">
        <v>15750488983.68</v>
      </c>
      <c r="F22" s="43">
        <v>23376490799.179871</v>
      </c>
      <c r="G22" s="43">
        <v>3005281158.5699997</v>
      </c>
      <c r="H22" s="43">
        <v>1710952171.0599999</v>
      </c>
      <c r="I22" s="43">
        <v>73307234425.839966</v>
      </c>
      <c r="J22" s="43">
        <v>3992902755.6899872</v>
      </c>
      <c r="K22" s="43">
        <v>1589660910.1099999</v>
      </c>
      <c r="L22" s="43">
        <v>6752603394.6199999</v>
      </c>
      <c r="M22" s="43">
        <v>0</v>
      </c>
      <c r="N22" s="43">
        <v>2788037554.5599999</v>
      </c>
      <c r="O22" s="43">
        <v>52865133.07</v>
      </c>
      <c r="P22" s="43">
        <v>0</v>
      </c>
      <c r="Q22" s="43">
        <v>0</v>
      </c>
      <c r="R22" s="43">
        <v>99755797.179999933</v>
      </c>
      <c r="S22" s="43">
        <v>1026006093.8699999</v>
      </c>
      <c r="T22" s="43">
        <v>0</v>
      </c>
      <c r="U22" s="43">
        <v>269337308.80000001</v>
      </c>
      <c r="V22" s="43">
        <v>0</v>
      </c>
      <c r="W22" s="43">
        <v>1340073221.6400001</v>
      </c>
      <c r="X22" s="43">
        <v>61056076456.350006</v>
      </c>
      <c r="Y22" s="43">
        <v>20000000000</v>
      </c>
      <c r="Z22" s="43">
        <v>728985408.20000005</v>
      </c>
      <c r="AA22" s="43">
        <v>26850925424.880001</v>
      </c>
      <c r="AB22" s="43">
        <v>25474204.989999998</v>
      </c>
      <c r="AC22" s="43">
        <v>0</v>
      </c>
      <c r="AD22" s="43">
        <v>13450691418.28001</v>
      </c>
      <c r="AE22" s="51"/>
      <c r="AF22" s="51"/>
      <c r="AG22" s="51"/>
    </row>
    <row r="23" spans="1:33" ht="12.75" customHeight="1">
      <c r="A23" s="40" t="s">
        <v>66</v>
      </c>
      <c r="B23" s="41">
        <v>1022</v>
      </c>
      <c r="C23" s="42" t="s">
        <v>415</v>
      </c>
      <c r="D23" s="43">
        <v>55057949769.260002</v>
      </c>
      <c r="E23" s="43">
        <v>33696767.800000012</v>
      </c>
      <c r="F23" s="43">
        <v>4416214903.5699997</v>
      </c>
      <c r="G23" s="43">
        <v>692163.56</v>
      </c>
      <c r="H23" s="43">
        <v>1153658356.8299999</v>
      </c>
      <c r="I23" s="43">
        <v>46413086353.639999</v>
      </c>
      <c r="J23" s="43">
        <v>800926965.23000014</v>
      </c>
      <c r="K23" s="43">
        <v>1071096481.52</v>
      </c>
      <c r="L23" s="43">
        <v>1168577777.1099999</v>
      </c>
      <c r="M23" s="43">
        <v>0</v>
      </c>
      <c r="N23" s="43">
        <v>2265369694.7200003</v>
      </c>
      <c r="O23" s="43">
        <v>287697474.45000005</v>
      </c>
      <c r="P23" s="43">
        <v>121239523.23</v>
      </c>
      <c r="Q23" s="43">
        <v>0</v>
      </c>
      <c r="R23" s="43">
        <v>0</v>
      </c>
      <c r="S23" s="43">
        <v>983714530.05999994</v>
      </c>
      <c r="T23" s="43">
        <v>0</v>
      </c>
      <c r="U23" s="43">
        <v>872718166.98000002</v>
      </c>
      <c r="V23" s="43">
        <v>0</v>
      </c>
      <c r="W23" s="43">
        <v>0</v>
      </c>
      <c r="X23" s="43">
        <v>11240501107.059999</v>
      </c>
      <c r="Y23" s="43">
        <v>1632294520</v>
      </c>
      <c r="Z23" s="43">
        <v>0</v>
      </c>
      <c r="AA23" s="43">
        <v>260723786.99000001</v>
      </c>
      <c r="AB23" s="43">
        <v>7616196866.1700001</v>
      </c>
      <c r="AC23" s="43">
        <v>-298327858.49000001</v>
      </c>
      <c r="AD23" s="43">
        <v>2029613792.3899999</v>
      </c>
      <c r="AE23" s="51"/>
      <c r="AF23" s="51"/>
      <c r="AG23" s="51"/>
    </row>
    <row r="24" spans="1:33" ht="12.75" customHeight="1">
      <c r="A24" s="40" t="s">
        <v>9</v>
      </c>
      <c r="B24" s="41">
        <v>1025</v>
      </c>
      <c r="C24" s="42" t="s">
        <v>415</v>
      </c>
      <c r="D24" s="43">
        <v>13549494896.900003</v>
      </c>
      <c r="E24" s="43">
        <v>19704634.440000001</v>
      </c>
      <c r="F24" s="43">
        <v>2575472415.5900002</v>
      </c>
      <c r="G24" s="43">
        <v>1846684.88</v>
      </c>
      <c r="H24" s="43">
        <v>165550177.61000001</v>
      </c>
      <c r="I24" s="43">
        <v>9395350276.7200012</v>
      </c>
      <c r="J24" s="43">
        <v>252141095.9600001</v>
      </c>
      <c r="K24" s="43">
        <v>9361933.290000001</v>
      </c>
      <c r="L24" s="43">
        <v>1130067678.4100001</v>
      </c>
      <c r="M24" s="43">
        <v>0</v>
      </c>
      <c r="N24" s="43">
        <v>413169304.05000001</v>
      </c>
      <c r="O24" s="43">
        <v>97643406.469999999</v>
      </c>
      <c r="P24" s="43">
        <v>0</v>
      </c>
      <c r="Q24" s="43">
        <v>0</v>
      </c>
      <c r="R24" s="43">
        <v>25850655.18</v>
      </c>
      <c r="S24" s="43">
        <v>178340069.83000001</v>
      </c>
      <c r="T24" s="43">
        <v>0</v>
      </c>
      <c r="U24" s="43">
        <v>42183517.329999998</v>
      </c>
      <c r="V24" s="43">
        <v>0</v>
      </c>
      <c r="W24" s="43">
        <v>69151655.239999995</v>
      </c>
      <c r="X24" s="43">
        <v>3186159396.2800002</v>
      </c>
      <c r="Y24" s="43">
        <v>950000000</v>
      </c>
      <c r="Z24" s="43">
        <v>27224651.75</v>
      </c>
      <c r="AA24" s="43">
        <v>1163168608.76</v>
      </c>
      <c r="AB24" s="43">
        <v>689725466.33000004</v>
      </c>
      <c r="AC24" s="43">
        <v>0</v>
      </c>
      <c r="AD24" s="43">
        <v>356040669.44</v>
      </c>
      <c r="AE24" s="51"/>
      <c r="AF24" s="51"/>
      <c r="AG24" s="51"/>
    </row>
    <row r="25" spans="1:33" ht="12.75" customHeight="1">
      <c r="A25" s="40" t="s">
        <v>71</v>
      </c>
      <c r="B25" s="41">
        <v>1027</v>
      </c>
      <c r="C25" s="42" t="s">
        <v>415</v>
      </c>
      <c r="D25" s="43">
        <v>4255449470.0398808</v>
      </c>
      <c r="E25" s="43">
        <v>4077953.3199999952</v>
      </c>
      <c r="F25" s="43">
        <v>350481416.81999975</v>
      </c>
      <c r="G25" s="43">
        <v>51257565.470000014</v>
      </c>
      <c r="H25" s="43">
        <v>171785419.15000004</v>
      </c>
      <c r="I25" s="43">
        <v>3535961830.6798811</v>
      </c>
      <c r="J25" s="43">
        <v>48082547.28000012</v>
      </c>
      <c r="K25" s="43">
        <v>17676754.579999998</v>
      </c>
      <c r="L25" s="43">
        <v>76133495.599999905</v>
      </c>
      <c r="M25" s="43">
        <v>-7512.8600001335144</v>
      </c>
      <c r="N25" s="43">
        <v>103626184.45999998</v>
      </c>
      <c r="O25" s="43">
        <v>15869655.619999997</v>
      </c>
      <c r="P25" s="43">
        <v>0</v>
      </c>
      <c r="Q25" s="43">
        <v>0</v>
      </c>
      <c r="R25" s="43">
        <v>0</v>
      </c>
      <c r="S25" s="43">
        <v>70990827.049999982</v>
      </c>
      <c r="T25" s="43">
        <v>0</v>
      </c>
      <c r="U25" s="43">
        <v>16765701.789999999</v>
      </c>
      <c r="V25" s="43">
        <v>0</v>
      </c>
      <c r="W25" s="43">
        <v>0</v>
      </c>
      <c r="X25" s="43">
        <v>-141344433.25999475</v>
      </c>
      <c r="Y25" s="43">
        <v>1200000000</v>
      </c>
      <c r="Z25" s="43">
        <v>345000000</v>
      </c>
      <c r="AA25" s="43">
        <v>-3906192.1599999885</v>
      </c>
      <c r="AB25" s="43">
        <v>0</v>
      </c>
      <c r="AC25" s="43">
        <v>-1403197491.4200001</v>
      </c>
      <c r="AD25" s="43">
        <v>-279240749.67999458</v>
      </c>
      <c r="AE25" s="51"/>
      <c r="AF25" s="51"/>
      <c r="AG25" s="51"/>
    </row>
    <row r="26" spans="1:33" ht="12.75" customHeight="1">
      <c r="A26" s="40" t="s">
        <v>10</v>
      </c>
      <c r="B26" s="41">
        <v>1028</v>
      </c>
      <c r="C26" s="42" t="s">
        <v>415</v>
      </c>
      <c r="D26" s="43">
        <v>25518804529.839996</v>
      </c>
      <c r="E26" s="43">
        <v>29475520.710000001</v>
      </c>
      <c r="F26" s="43">
        <v>3095442237.8699999</v>
      </c>
      <c r="G26" s="43">
        <v>98852035.959999979</v>
      </c>
      <c r="H26" s="43">
        <v>1929048473.1900001</v>
      </c>
      <c r="I26" s="43">
        <v>18729344425.709995</v>
      </c>
      <c r="J26" s="43">
        <v>636019014.55999994</v>
      </c>
      <c r="K26" s="43">
        <v>387196181.78999996</v>
      </c>
      <c r="L26" s="43">
        <v>576774082.12</v>
      </c>
      <c r="M26" s="43">
        <v>36652557.93</v>
      </c>
      <c r="N26" s="43">
        <v>542701110.97000003</v>
      </c>
      <c r="O26" s="43">
        <v>0</v>
      </c>
      <c r="P26" s="43">
        <v>0</v>
      </c>
      <c r="Q26" s="43">
        <v>0</v>
      </c>
      <c r="R26" s="43">
        <v>0</v>
      </c>
      <c r="S26" s="43">
        <v>359678302.08000004</v>
      </c>
      <c r="T26" s="43">
        <v>0</v>
      </c>
      <c r="U26" s="43">
        <v>106781491.89</v>
      </c>
      <c r="V26" s="43">
        <v>0</v>
      </c>
      <c r="W26" s="43">
        <v>76241317</v>
      </c>
      <c r="X26" s="43">
        <v>7622751579.8200073</v>
      </c>
      <c r="Y26" s="43">
        <v>1690098161</v>
      </c>
      <c r="Z26" s="43">
        <v>0</v>
      </c>
      <c r="AA26" s="43">
        <v>5153528863.4499998</v>
      </c>
      <c r="AB26" s="43">
        <v>-0.32</v>
      </c>
      <c r="AC26" s="43">
        <v>-0.49</v>
      </c>
      <c r="AD26" s="43">
        <v>779124556.18000686</v>
      </c>
      <c r="AE26" s="51"/>
      <c r="AF26" s="51"/>
      <c r="AG26" s="51"/>
    </row>
    <row r="27" spans="1:33" ht="12.75" customHeight="1">
      <c r="A27" s="40" t="s">
        <v>12</v>
      </c>
      <c r="B27" s="41">
        <v>1030</v>
      </c>
      <c r="C27" s="42" t="s">
        <v>415</v>
      </c>
      <c r="D27" s="43">
        <v>46705124498.55999</v>
      </c>
      <c r="E27" s="43">
        <v>109725203.89</v>
      </c>
      <c r="F27" s="43">
        <v>2270832691.1599998</v>
      </c>
      <c r="G27" s="43">
        <v>661289.97</v>
      </c>
      <c r="H27" s="43">
        <v>1553521358.1799998</v>
      </c>
      <c r="I27" s="43">
        <v>40549967524.629997</v>
      </c>
      <c r="J27" s="43">
        <v>843095078.17999995</v>
      </c>
      <c r="K27" s="43">
        <v>857496878.61000001</v>
      </c>
      <c r="L27" s="43">
        <v>461054594.58999997</v>
      </c>
      <c r="M27" s="43">
        <v>58769879.350000001</v>
      </c>
      <c r="N27" s="43">
        <v>796009613.60000002</v>
      </c>
      <c r="O27" s="43">
        <v>305238506.32999998</v>
      </c>
      <c r="P27" s="43">
        <v>0</v>
      </c>
      <c r="Q27" s="43">
        <v>0</v>
      </c>
      <c r="R27" s="43">
        <v>0</v>
      </c>
      <c r="S27" s="43">
        <v>423903114.78000003</v>
      </c>
      <c r="T27" s="43">
        <v>0</v>
      </c>
      <c r="U27" s="43">
        <v>66867992.490000002</v>
      </c>
      <c r="V27" s="43">
        <v>0</v>
      </c>
      <c r="W27" s="43">
        <v>0</v>
      </c>
      <c r="X27" s="43">
        <v>11248144591.530001</v>
      </c>
      <c r="Y27" s="43">
        <v>3150000000</v>
      </c>
      <c r="Z27" s="43">
        <v>7400000</v>
      </c>
      <c r="AA27" s="43">
        <v>4776401650.21</v>
      </c>
      <c r="AB27" s="43">
        <v>804306886.24000001</v>
      </c>
      <c r="AC27" s="43">
        <v>0</v>
      </c>
      <c r="AD27" s="43">
        <v>2510036055.0799999</v>
      </c>
      <c r="AE27" s="51"/>
      <c r="AF27" s="51"/>
      <c r="AG27" s="51"/>
    </row>
    <row r="28" spans="1:33" ht="12.75" customHeight="1">
      <c r="A28" s="40" t="s">
        <v>78</v>
      </c>
      <c r="B28" s="41">
        <v>1031</v>
      </c>
      <c r="C28" s="42" t="s">
        <v>415</v>
      </c>
      <c r="D28" s="43">
        <v>1242248288.8200002</v>
      </c>
      <c r="E28" s="43">
        <v>11787490.42</v>
      </c>
      <c r="F28" s="43">
        <v>226990785.77000001</v>
      </c>
      <c r="G28" s="43">
        <v>9173790.4000000004</v>
      </c>
      <c r="H28" s="43">
        <v>29507899.189999998</v>
      </c>
      <c r="I28" s="43">
        <v>902293476.79999995</v>
      </c>
      <c r="J28" s="43">
        <v>12825061.68</v>
      </c>
      <c r="K28" s="43">
        <v>6525699.4000000004</v>
      </c>
      <c r="L28" s="43">
        <v>43144085.159999996</v>
      </c>
      <c r="M28" s="43">
        <v>0</v>
      </c>
      <c r="N28" s="43">
        <v>36815231.869999997</v>
      </c>
      <c r="O28" s="43">
        <v>0</v>
      </c>
      <c r="P28" s="43">
        <v>0</v>
      </c>
      <c r="Q28" s="43">
        <v>0</v>
      </c>
      <c r="R28" s="43">
        <v>0</v>
      </c>
      <c r="S28" s="43">
        <v>29401537.719999999</v>
      </c>
      <c r="T28" s="43">
        <v>0</v>
      </c>
      <c r="U28" s="43">
        <v>7413694.1500000004</v>
      </c>
      <c r="V28" s="43">
        <v>0</v>
      </c>
      <c r="W28" s="43">
        <v>0</v>
      </c>
      <c r="X28" s="43">
        <v>1421887642.3699999</v>
      </c>
      <c r="Y28" s="43">
        <v>1300000000</v>
      </c>
      <c r="Z28" s="43">
        <v>0</v>
      </c>
      <c r="AA28" s="43">
        <v>-2500810.75</v>
      </c>
      <c r="AB28" s="43">
        <v>174081806.13999999</v>
      </c>
      <c r="AC28" s="43">
        <v>-52394437.539999999</v>
      </c>
      <c r="AD28" s="43">
        <v>2701084.5200000014</v>
      </c>
      <c r="AE28" s="51"/>
      <c r="AF28" s="51"/>
      <c r="AG28" s="51"/>
    </row>
    <row r="29" spans="1:33" ht="12.75" customHeight="1">
      <c r="A29" s="40" t="s">
        <v>81</v>
      </c>
      <c r="B29" s="41">
        <v>1032</v>
      </c>
      <c r="C29" s="42" t="s">
        <v>415</v>
      </c>
      <c r="D29" s="43">
        <v>31979197497.619999</v>
      </c>
      <c r="E29" s="43">
        <v>9621797.9699999951</v>
      </c>
      <c r="F29" s="43">
        <v>5620763851.3199997</v>
      </c>
      <c r="G29" s="43">
        <v>0.26</v>
      </c>
      <c r="H29" s="43">
        <v>709788765.55000007</v>
      </c>
      <c r="I29" s="43">
        <v>23793992653.620003</v>
      </c>
      <c r="J29" s="43">
        <v>655974706.35000038</v>
      </c>
      <c r="K29" s="43">
        <v>220708847</v>
      </c>
      <c r="L29" s="43">
        <v>968346875.54999995</v>
      </c>
      <c r="M29" s="43">
        <v>0</v>
      </c>
      <c r="N29" s="43">
        <v>1882552443.7800002</v>
      </c>
      <c r="O29" s="43">
        <v>12312410.940000005</v>
      </c>
      <c r="P29" s="43">
        <v>0</v>
      </c>
      <c r="Q29" s="43">
        <v>0</v>
      </c>
      <c r="R29" s="43">
        <v>0</v>
      </c>
      <c r="S29" s="43">
        <v>1811070630.46</v>
      </c>
      <c r="T29" s="43">
        <v>0</v>
      </c>
      <c r="U29" s="43">
        <v>59169402.380000003</v>
      </c>
      <c r="V29" s="43">
        <v>0</v>
      </c>
      <c r="W29" s="43">
        <v>0</v>
      </c>
      <c r="X29" s="43">
        <v>10353930412.350008</v>
      </c>
      <c r="Y29" s="43">
        <v>163069856</v>
      </c>
      <c r="Z29" s="43">
        <v>2070152.2</v>
      </c>
      <c r="AA29" s="43">
        <v>1437236062.99</v>
      </c>
      <c r="AB29" s="43">
        <v>6854867165.8199997</v>
      </c>
      <c r="AC29" s="43">
        <v>0</v>
      </c>
      <c r="AD29" s="43">
        <v>1896687175.3400078</v>
      </c>
      <c r="AE29" s="51"/>
      <c r="AF29" s="51"/>
      <c r="AG29" s="51"/>
    </row>
    <row r="30" spans="1:33" ht="12.75" customHeight="1">
      <c r="A30" s="40" t="s">
        <v>13</v>
      </c>
      <c r="B30" s="41">
        <v>1034</v>
      </c>
      <c r="C30" s="42" t="s">
        <v>415</v>
      </c>
      <c r="D30" s="43">
        <v>6232108874.7599993</v>
      </c>
      <c r="E30" s="43">
        <v>0</v>
      </c>
      <c r="F30" s="43">
        <v>221393205.92000002</v>
      </c>
      <c r="G30" s="43">
        <v>1144007.03</v>
      </c>
      <c r="H30" s="43">
        <v>187784958.47999999</v>
      </c>
      <c r="I30" s="43">
        <v>5228348847.4099989</v>
      </c>
      <c r="J30" s="43">
        <v>129766133.13000001</v>
      </c>
      <c r="K30" s="43">
        <v>21694996.329999998</v>
      </c>
      <c r="L30" s="43">
        <v>56409475.630000003</v>
      </c>
      <c r="M30" s="43">
        <v>385567250.82999998</v>
      </c>
      <c r="N30" s="43">
        <v>57824450.299999997</v>
      </c>
      <c r="O30" s="43">
        <v>0</v>
      </c>
      <c r="P30" s="43">
        <v>0</v>
      </c>
      <c r="Q30" s="43">
        <v>0</v>
      </c>
      <c r="R30" s="43">
        <v>0</v>
      </c>
      <c r="S30" s="43">
        <v>43834454.299999997</v>
      </c>
      <c r="T30" s="43">
        <v>0</v>
      </c>
      <c r="U30" s="43">
        <v>13989996</v>
      </c>
      <c r="V30" s="43">
        <v>0</v>
      </c>
      <c r="W30" s="43">
        <v>0</v>
      </c>
      <c r="X30" s="43">
        <v>1976721975.8600001</v>
      </c>
      <c r="Y30" s="43">
        <v>200000000</v>
      </c>
      <c r="Z30" s="43">
        <v>0</v>
      </c>
      <c r="AA30" s="43">
        <v>1147264275.0999999</v>
      </c>
      <c r="AB30" s="43">
        <v>398282897.36000001</v>
      </c>
      <c r="AC30" s="43">
        <v>0</v>
      </c>
      <c r="AD30" s="43">
        <v>231174803.39999998</v>
      </c>
      <c r="AE30" s="51"/>
      <c r="AF30" s="51"/>
      <c r="AG30" s="51"/>
    </row>
    <row r="31" spans="1:33" ht="12.75" customHeight="1">
      <c r="A31" s="40" t="s">
        <v>6</v>
      </c>
      <c r="B31" s="41">
        <v>1035</v>
      </c>
      <c r="C31" s="42" t="s">
        <v>415</v>
      </c>
      <c r="D31" s="43">
        <v>64897300763.5784</v>
      </c>
      <c r="E31" s="43">
        <v>65619977.030000001</v>
      </c>
      <c r="F31" s="43">
        <v>4185113006.77</v>
      </c>
      <c r="G31" s="43">
        <v>1383480.86</v>
      </c>
      <c r="H31" s="43">
        <v>1078679960.6099999</v>
      </c>
      <c r="I31" s="43">
        <v>56698883805.559998</v>
      </c>
      <c r="J31" s="43">
        <v>1424798134.8000002</v>
      </c>
      <c r="K31" s="43">
        <v>371686598.55000001</v>
      </c>
      <c r="L31" s="43">
        <v>1071135809.11</v>
      </c>
      <c r="M31" s="43">
        <v>-9.7116127014160103</v>
      </c>
      <c r="N31" s="43">
        <v>670318248.0799998</v>
      </c>
      <c r="O31" s="43">
        <v>114366420.14</v>
      </c>
      <c r="P31" s="43">
        <v>0</v>
      </c>
      <c r="Q31" s="43">
        <v>0</v>
      </c>
      <c r="R31" s="43">
        <v>0</v>
      </c>
      <c r="S31" s="43">
        <v>492177891.93999982</v>
      </c>
      <c r="T31" s="43">
        <v>0</v>
      </c>
      <c r="U31" s="43">
        <v>63773936</v>
      </c>
      <c r="V31" s="43">
        <v>0</v>
      </c>
      <c r="W31" s="43">
        <v>0</v>
      </c>
      <c r="X31" s="43">
        <v>16261146718.818966</v>
      </c>
      <c r="Y31" s="43">
        <v>190000000</v>
      </c>
      <c r="Z31" s="43">
        <v>2228323.79</v>
      </c>
      <c r="AA31" s="43">
        <v>13080375640.08</v>
      </c>
      <c r="AB31" s="43">
        <v>0</v>
      </c>
      <c r="AC31" s="43">
        <v>0</v>
      </c>
      <c r="AD31" s="43">
        <v>2988542754.9489651</v>
      </c>
      <c r="AE31" s="51"/>
      <c r="AF31" s="51"/>
      <c r="AG31" s="51"/>
    </row>
    <row r="32" spans="1:33" ht="12.75" customHeight="1">
      <c r="A32" s="40" t="s">
        <v>18</v>
      </c>
      <c r="B32" s="41">
        <v>1036</v>
      </c>
      <c r="C32" s="42" t="s">
        <v>415</v>
      </c>
      <c r="D32" s="43">
        <v>24525404384.610001</v>
      </c>
      <c r="E32" s="43">
        <v>8628663.1000000015</v>
      </c>
      <c r="F32" s="43">
        <v>1567212927.2199998</v>
      </c>
      <c r="G32" s="43">
        <v>0</v>
      </c>
      <c r="H32" s="43">
        <v>935548463.14999998</v>
      </c>
      <c r="I32" s="43">
        <v>20664317384.43</v>
      </c>
      <c r="J32" s="43">
        <v>410211314.31</v>
      </c>
      <c r="K32" s="43">
        <v>62646696.640000001</v>
      </c>
      <c r="L32" s="43">
        <v>840034057.62</v>
      </c>
      <c r="M32" s="43">
        <v>36804878.140000001</v>
      </c>
      <c r="N32" s="43">
        <v>392722129.06999993</v>
      </c>
      <c r="O32" s="43">
        <v>21522236.960000001</v>
      </c>
      <c r="P32" s="43">
        <v>0</v>
      </c>
      <c r="Q32" s="43">
        <v>0</v>
      </c>
      <c r="R32" s="43">
        <v>0</v>
      </c>
      <c r="S32" s="43">
        <v>319571507.86999995</v>
      </c>
      <c r="T32" s="43">
        <v>0</v>
      </c>
      <c r="U32" s="43">
        <v>51407166.240000002</v>
      </c>
      <c r="V32" s="43">
        <v>0</v>
      </c>
      <c r="W32" s="43">
        <v>221218</v>
      </c>
      <c r="X32" s="43">
        <v>4515015038.8099995</v>
      </c>
      <c r="Y32" s="43">
        <v>750000000</v>
      </c>
      <c r="Z32" s="43">
        <v>0</v>
      </c>
      <c r="AA32" s="43">
        <v>254191178.54000002</v>
      </c>
      <c r="AB32" s="43">
        <v>3076938342.1799998</v>
      </c>
      <c r="AC32" s="43">
        <v>-7630483.9500000002</v>
      </c>
      <c r="AD32" s="43">
        <v>441516002.03999996</v>
      </c>
      <c r="AE32" s="51"/>
      <c r="AF32" s="51"/>
      <c r="AG32" s="51"/>
    </row>
    <row r="33" spans="1:33" ht="12.75" customHeight="1">
      <c r="A33" s="40" t="s">
        <v>15</v>
      </c>
      <c r="B33" s="41">
        <v>1037</v>
      </c>
      <c r="C33" s="42" t="s">
        <v>415</v>
      </c>
      <c r="D33" s="43">
        <v>6215569712.8500004</v>
      </c>
      <c r="E33" s="43">
        <v>7349790.7600000007</v>
      </c>
      <c r="F33" s="43">
        <v>341969898.68000001</v>
      </c>
      <c r="G33" s="43">
        <v>-841232.97</v>
      </c>
      <c r="H33" s="43">
        <v>366151744.57999998</v>
      </c>
      <c r="I33" s="43">
        <v>5122662761.0200005</v>
      </c>
      <c r="J33" s="43">
        <v>208746856.91</v>
      </c>
      <c r="K33" s="43">
        <v>36292596.280000001</v>
      </c>
      <c r="L33" s="43">
        <v>133237297.59</v>
      </c>
      <c r="M33" s="43">
        <v>0</v>
      </c>
      <c r="N33" s="43">
        <v>23153302.580000002</v>
      </c>
      <c r="O33" s="43">
        <v>687888.27</v>
      </c>
      <c r="P33" s="43">
        <v>0</v>
      </c>
      <c r="Q33" s="43">
        <v>0</v>
      </c>
      <c r="R33" s="43">
        <v>0</v>
      </c>
      <c r="S33" s="43">
        <v>6902068.7400000021</v>
      </c>
      <c r="T33" s="43">
        <v>0</v>
      </c>
      <c r="U33" s="43">
        <v>15563346</v>
      </c>
      <c r="V33" s="43">
        <v>0</v>
      </c>
      <c r="W33" s="43">
        <v>-0.43</v>
      </c>
      <c r="X33" s="43">
        <v>1500463243.3400002</v>
      </c>
      <c r="Y33" s="43">
        <v>692098807.90999997</v>
      </c>
      <c r="Z33" s="43">
        <v>256469121.62</v>
      </c>
      <c r="AA33" s="43">
        <v>17129703.530000001</v>
      </c>
      <c r="AB33" s="43">
        <v>351250816.93000001</v>
      </c>
      <c r="AC33" s="43">
        <v>-12295293.75</v>
      </c>
      <c r="AD33" s="43">
        <v>195810087.10000002</v>
      </c>
      <c r="AE33" s="51"/>
      <c r="AF33" s="51"/>
      <c r="AG33" s="51"/>
    </row>
    <row r="34" spans="1:33" ht="12.75" customHeight="1">
      <c r="A34" s="40" t="s">
        <v>17</v>
      </c>
      <c r="B34" s="41">
        <v>1038</v>
      </c>
      <c r="C34" s="42" t="s">
        <v>415</v>
      </c>
      <c r="D34" s="43">
        <v>6728458998.300024</v>
      </c>
      <c r="E34" s="43">
        <v>17380316.819999989</v>
      </c>
      <c r="F34" s="43">
        <v>825157852.70000005</v>
      </c>
      <c r="G34" s="43">
        <v>437143.44000000134</v>
      </c>
      <c r="H34" s="43">
        <v>295490078.5800001</v>
      </c>
      <c r="I34" s="43">
        <v>5140770185.7700233</v>
      </c>
      <c r="J34" s="43">
        <v>182834695.06000018</v>
      </c>
      <c r="K34" s="43">
        <v>193528185.32000005</v>
      </c>
      <c r="L34" s="43">
        <v>72860540.600000024</v>
      </c>
      <c r="M34" s="43">
        <v>1.0000228998251259E-2</v>
      </c>
      <c r="N34" s="43">
        <v>2617062583.600008</v>
      </c>
      <c r="O34" s="43">
        <v>-4.0000000037252903E-2</v>
      </c>
      <c r="P34" s="43">
        <v>0</v>
      </c>
      <c r="Q34" s="43">
        <v>0</v>
      </c>
      <c r="R34" s="43">
        <v>0</v>
      </c>
      <c r="S34" s="43">
        <v>2542471092.7900081</v>
      </c>
      <c r="T34" s="43">
        <v>0</v>
      </c>
      <c r="U34" s="43">
        <v>55461703.999999993</v>
      </c>
      <c r="V34" s="43">
        <v>0</v>
      </c>
      <c r="W34" s="43">
        <v>19129786.850000024</v>
      </c>
      <c r="X34" s="43">
        <v>2966712350.3800116</v>
      </c>
      <c r="Y34" s="43">
        <v>181198513.70000002</v>
      </c>
      <c r="Z34" s="43">
        <v>0</v>
      </c>
      <c r="AA34" s="43">
        <v>2283815856.7300034</v>
      </c>
      <c r="AB34" s="43">
        <v>11729002.130000114</v>
      </c>
      <c r="AC34" s="43">
        <v>0</v>
      </c>
      <c r="AD34" s="43">
        <v>489968977.82000828</v>
      </c>
      <c r="AE34" s="51"/>
      <c r="AF34" s="51"/>
      <c r="AG34" s="51"/>
    </row>
    <row r="35" spans="1:33" ht="12.75" customHeight="1">
      <c r="A35" s="40" t="s">
        <v>94</v>
      </c>
      <c r="B35" s="41">
        <v>1039</v>
      </c>
      <c r="C35" s="42" t="s">
        <v>415</v>
      </c>
      <c r="D35" s="43">
        <v>3590188234.1299996</v>
      </c>
      <c r="E35" s="43">
        <v>6250000</v>
      </c>
      <c r="F35" s="43">
        <v>218889824.91000003</v>
      </c>
      <c r="G35" s="43">
        <v>22696266.039999999</v>
      </c>
      <c r="H35" s="43">
        <v>55824241.639999993</v>
      </c>
      <c r="I35" s="43">
        <v>3132749037.1499996</v>
      </c>
      <c r="J35" s="43">
        <v>74814795.700000003</v>
      </c>
      <c r="K35" s="43">
        <v>29405014.420000002</v>
      </c>
      <c r="L35" s="43">
        <v>49559054.270000003</v>
      </c>
      <c r="M35" s="43">
        <v>0</v>
      </c>
      <c r="N35" s="43">
        <v>43726598.810000002</v>
      </c>
      <c r="O35" s="43">
        <v>0</v>
      </c>
      <c r="P35" s="43">
        <v>0</v>
      </c>
      <c r="Q35" s="43">
        <v>0</v>
      </c>
      <c r="R35" s="43">
        <v>0</v>
      </c>
      <c r="S35" s="43">
        <v>23622421.809999999</v>
      </c>
      <c r="T35" s="43">
        <v>0</v>
      </c>
      <c r="U35" s="43">
        <v>20104177</v>
      </c>
      <c r="V35" s="43">
        <v>0</v>
      </c>
      <c r="W35" s="43">
        <v>0</v>
      </c>
      <c r="X35" s="43">
        <v>732695481.03000033</v>
      </c>
      <c r="Y35" s="43">
        <v>904082371</v>
      </c>
      <c r="Z35" s="43">
        <v>0</v>
      </c>
      <c r="AA35" s="43">
        <v>2565501.3199999994</v>
      </c>
      <c r="AB35" s="43">
        <v>322064101</v>
      </c>
      <c r="AC35" s="43">
        <v>-425094731.10000002</v>
      </c>
      <c r="AD35" s="43">
        <v>-70921761.189999819</v>
      </c>
      <c r="AE35" s="51"/>
      <c r="AF35" s="51"/>
      <c r="AG35" s="51"/>
    </row>
    <row r="36" spans="1:33" ht="12.75" customHeight="1">
      <c r="A36" s="40" t="s">
        <v>97</v>
      </c>
      <c r="B36" s="41">
        <v>1040</v>
      </c>
      <c r="C36" s="42" t="s">
        <v>415</v>
      </c>
      <c r="D36" s="43">
        <v>3250844008</v>
      </c>
      <c r="E36" s="43">
        <v>26290269</v>
      </c>
      <c r="F36" s="43">
        <v>147179918</v>
      </c>
      <c r="G36" s="43">
        <v>4503493</v>
      </c>
      <c r="H36" s="43">
        <v>9519851</v>
      </c>
      <c r="I36" s="43">
        <v>3021495200</v>
      </c>
      <c r="J36" s="43">
        <v>34334422</v>
      </c>
      <c r="K36" s="43">
        <v>4776475</v>
      </c>
      <c r="L36" s="43">
        <v>2744380</v>
      </c>
      <c r="M36" s="43">
        <v>0</v>
      </c>
      <c r="N36" s="43">
        <v>55867218</v>
      </c>
      <c r="O36" s="43">
        <v>49794394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6072824</v>
      </c>
      <c r="V36" s="43">
        <v>0</v>
      </c>
      <c r="W36" s="43">
        <v>0</v>
      </c>
      <c r="X36" s="43">
        <v>816586887</v>
      </c>
      <c r="Y36" s="43">
        <v>600000000</v>
      </c>
      <c r="Z36" s="43">
        <v>0</v>
      </c>
      <c r="AA36" s="43">
        <v>23837590</v>
      </c>
      <c r="AB36" s="43">
        <v>101775998</v>
      </c>
      <c r="AC36" s="43">
        <v>0</v>
      </c>
      <c r="AD36" s="43">
        <v>90973299</v>
      </c>
      <c r="AE36" s="51"/>
      <c r="AF36" s="51"/>
      <c r="AG36" s="51"/>
    </row>
    <row r="37" spans="1:33" ht="12.75" customHeight="1">
      <c r="A37" s="40" t="s">
        <v>100</v>
      </c>
      <c r="B37" s="41">
        <v>1043</v>
      </c>
      <c r="C37" s="42" t="s">
        <v>415</v>
      </c>
      <c r="D37" s="43">
        <v>21126005842.499996</v>
      </c>
      <c r="E37" s="43">
        <v>10998971.42</v>
      </c>
      <c r="F37" s="43">
        <v>2045753491.3299999</v>
      </c>
      <c r="G37" s="43">
        <v>24329.980000078678</v>
      </c>
      <c r="H37" s="43">
        <v>520853548.69000101</v>
      </c>
      <c r="I37" s="43">
        <v>17587690814.869995</v>
      </c>
      <c r="J37" s="43">
        <v>348460368.46000016</v>
      </c>
      <c r="K37" s="43">
        <v>411372876.04000002</v>
      </c>
      <c r="L37" s="43">
        <v>200851441.70999998</v>
      </c>
      <c r="M37" s="43">
        <v>0</v>
      </c>
      <c r="N37" s="43">
        <v>532865556.07999998</v>
      </c>
      <c r="O37" s="43">
        <v>5188076.37</v>
      </c>
      <c r="P37" s="43">
        <v>0</v>
      </c>
      <c r="Q37" s="43">
        <v>0</v>
      </c>
      <c r="R37" s="43">
        <v>2721970.78</v>
      </c>
      <c r="S37" s="43">
        <v>474041077.37</v>
      </c>
      <c r="T37" s="43">
        <v>0</v>
      </c>
      <c r="U37" s="43">
        <v>50914431.560000002</v>
      </c>
      <c r="V37" s="43">
        <v>0</v>
      </c>
      <c r="W37" s="43">
        <v>0</v>
      </c>
      <c r="X37" s="43">
        <v>5458339809.96</v>
      </c>
      <c r="Y37" s="43">
        <v>722895310.22000003</v>
      </c>
      <c r="Z37" s="43">
        <v>645524957.78999996</v>
      </c>
      <c r="AA37" s="43">
        <v>3853241072.48</v>
      </c>
      <c r="AB37" s="43">
        <v>0</v>
      </c>
      <c r="AC37" s="43">
        <v>0</v>
      </c>
      <c r="AD37" s="43">
        <v>236678469.47000009</v>
      </c>
      <c r="AE37" s="51"/>
      <c r="AF37" s="51"/>
      <c r="AG37" s="51"/>
    </row>
    <row r="38" spans="1:33" ht="12.75" customHeight="1">
      <c r="A38" s="40" t="s">
        <v>103</v>
      </c>
      <c r="B38" s="41">
        <v>1044</v>
      </c>
      <c r="C38" s="42" t="s">
        <v>415</v>
      </c>
      <c r="D38" s="43">
        <v>18655077630.280003</v>
      </c>
      <c r="E38" s="43">
        <v>14515011.779999999</v>
      </c>
      <c r="F38" s="43">
        <v>225265176.44</v>
      </c>
      <c r="G38" s="43">
        <v>0</v>
      </c>
      <c r="H38" s="43">
        <v>524645958.73000002</v>
      </c>
      <c r="I38" s="43">
        <v>16965011090.740002</v>
      </c>
      <c r="J38" s="43">
        <v>338050660.40000004</v>
      </c>
      <c r="K38" s="43">
        <v>133853186.27</v>
      </c>
      <c r="L38" s="43">
        <v>453736545.92000002</v>
      </c>
      <c r="M38" s="43">
        <v>0</v>
      </c>
      <c r="N38" s="43">
        <v>222966424.33000001</v>
      </c>
      <c r="O38" s="43">
        <v>2792818.74</v>
      </c>
      <c r="P38" s="43">
        <v>0</v>
      </c>
      <c r="Q38" s="43">
        <v>0</v>
      </c>
      <c r="R38" s="43">
        <v>38719730.719999999</v>
      </c>
      <c r="S38" s="43">
        <v>170354317.05000001</v>
      </c>
      <c r="T38" s="43">
        <v>0</v>
      </c>
      <c r="U38" s="43">
        <v>11099557.82</v>
      </c>
      <c r="V38" s="43">
        <v>0</v>
      </c>
      <c r="W38" s="43">
        <v>0</v>
      </c>
      <c r="X38" s="43">
        <v>4887872090.8199997</v>
      </c>
      <c r="Y38" s="43">
        <v>2100000000</v>
      </c>
      <c r="Z38" s="43">
        <v>0</v>
      </c>
      <c r="AA38" s="43">
        <v>121585784.96000004</v>
      </c>
      <c r="AB38" s="43">
        <v>1749748458.0799999</v>
      </c>
      <c r="AC38" s="43">
        <v>0</v>
      </c>
      <c r="AD38" s="43">
        <v>916537847.77999997</v>
      </c>
      <c r="AE38" s="51"/>
      <c r="AF38" s="51"/>
      <c r="AG38" s="51"/>
    </row>
    <row r="39" spans="1:33" ht="12.75" customHeight="1">
      <c r="A39" s="40" t="s">
        <v>106</v>
      </c>
      <c r="B39" s="41">
        <v>1045</v>
      </c>
      <c r="C39" s="42" t="s">
        <v>415</v>
      </c>
      <c r="D39" s="43">
        <v>59603494877.790001</v>
      </c>
      <c r="E39" s="43">
        <v>5859248.5499999998</v>
      </c>
      <c r="F39" s="43">
        <v>1449570050.4200001</v>
      </c>
      <c r="G39" s="43">
        <v>33672680.879999995</v>
      </c>
      <c r="H39" s="43">
        <v>654373357.45000005</v>
      </c>
      <c r="I39" s="43">
        <v>55811734500.669998</v>
      </c>
      <c r="J39" s="43">
        <v>1183494137.3900003</v>
      </c>
      <c r="K39" s="43">
        <v>47070786.109999999</v>
      </c>
      <c r="L39" s="43">
        <v>403565076.98000002</v>
      </c>
      <c r="M39" s="43">
        <v>14155039.34</v>
      </c>
      <c r="N39" s="43">
        <v>51358783.989999987</v>
      </c>
      <c r="O39" s="43">
        <v>1486207.7</v>
      </c>
      <c r="P39" s="43">
        <v>0</v>
      </c>
      <c r="Q39" s="43">
        <v>0</v>
      </c>
      <c r="R39" s="43">
        <v>0</v>
      </c>
      <c r="S39" s="43">
        <v>38673835.829999983</v>
      </c>
      <c r="T39" s="43">
        <v>0</v>
      </c>
      <c r="U39" s="43">
        <v>11198740.460000001</v>
      </c>
      <c r="V39" s="43">
        <v>0</v>
      </c>
      <c r="W39" s="43">
        <v>0</v>
      </c>
      <c r="X39" s="43">
        <v>23352167319.670013</v>
      </c>
      <c r="Y39" s="43">
        <v>433300000</v>
      </c>
      <c r="Z39" s="43">
        <v>0</v>
      </c>
      <c r="AA39" s="43">
        <v>20059189874.630001</v>
      </c>
      <c r="AB39" s="43">
        <v>0</v>
      </c>
      <c r="AC39" s="43">
        <v>0</v>
      </c>
      <c r="AD39" s="43">
        <v>2859677445.0400138</v>
      </c>
      <c r="AE39" s="51"/>
      <c r="AF39" s="51"/>
      <c r="AG39" s="51"/>
    </row>
    <row r="40" spans="1:33" ht="12.75" customHeight="1">
      <c r="A40" s="40" t="s">
        <v>109</v>
      </c>
      <c r="B40" s="41">
        <v>1046</v>
      </c>
      <c r="C40" s="42" t="s">
        <v>415</v>
      </c>
      <c r="D40" s="43">
        <v>1165040731.7</v>
      </c>
      <c r="E40" s="43">
        <v>1679870.67</v>
      </c>
      <c r="F40" s="43">
        <v>83021148.239999995</v>
      </c>
      <c r="G40" s="43">
        <v>372019.73</v>
      </c>
      <c r="H40" s="43">
        <v>76634687.74000001</v>
      </c>
      <c r="I40" s="43">
        <v>949982620.11000001</v>
      </c>
      <c r="J40" s="43">
        <v>14674201.440000001</v>
      </c>
      <c r="K40" s="43">
        <v>11197083.4</v>
      </c>
      <c r="L40" s="43">
        <v>27479100.370000001</v>
      </c>
      <c r="M40" s="43">
        <v>0</v>
      </c>
      <c r="N40" s="43">
        <v>60616789.810000002</v>
      </c>
      <c r="O40" s="43">
        <v>26489867.920000002</v>
      </c>
      <c r="P40" s="43">
        <v>0</v>
      </c>
      <c r="Q40" s="43">
        <v>0</v>
      </c>
      <c r="R40" s="43">
        <v>0</v>
      </c>
      <c r="S40" s="43">
        <v>19997232.120000005</v>
      </c>
      <c r="T40" s="43">
        <v>0</v>
      </c>
      <c r="U40" s="43">
        <v>14129689.77</v>
      </c>
      <c r="V40" s="43">
        <v>0</v>
      </c>
      <c r="W40" s="43">
        <v>0</v>
      </c>
      <c r="X40" s="43">
        <v>358239407.92999995</v>
      </c>
      <c r="Y40" s="43">
        <v>105265400</v>
      </c>
      <c r="Z40" s="43">
        <v>11615700</v>
      </c>
      <c r="AA40" s="43">
        <v>-7188001.5300000003</v>
      </c>
      <c r="AB40" s="43">
        <v>345206365.66000003</v>
      </c>
      <c r="AC40" s="43">
        <v>-195479.04000000001</v>
      </c>
      <c r="AD40" s="43">
        <v>-96464577.159999996</v>
      </c>
      <c r="AE40" s="51"/>
      <c r="AF40" s="51"/>
      <c r="AG40" s="51"/>
    </row>
    <row r="41" spans="1:33" ht="12.75" customHeight="1">
      <c r="A41" s="40" t="s">
        <v>112</v>
      </c>
      <c r="B41" s="41">
        <v>1048</v>
      </c>
      <c r="C41" s="42" t="s">
        <v>415</v>
      </c>
      <c r="D41" s="43">
        <v>13327597549.48</v>
      </c>
      <c r="E41" s="43">
        <v>35989513.359999999</v>
      </c>
      <c r="F41" s="43">
        <v>753952867.74000001</v>
      </c>
      <c r="G41" s="43">
        <v>7008285.6900000004</v>
      </c>
      <c r="H41" s="43">
        <v>1154858213.1799998</v>
      </c>
      <c r="I41" s="43">
        <v>10646745113.939999</v>
      </c>
      <c r="J41" s="43">
        <v>187425140.21000004</v>
      </c>
      <c r="K41" s="43">
        <v>130000000</v>
      </c>
      <c r="L41" s="43">
        <v>409724819.54000002</v>
      </c>
      <c r="M41" s="43">
        <v>1893595.82</v>
      </c>
      <c r="N41" s="43">
        <v>208526748.32000002</v>
      </c>
      <c r="O41" s="43">
        <v>14544711.199999999</v>
      </c>
      <c r="P41" s="43">
        <v>0</v>
      </c>
      <c r="Q41" s="43">
        <v>0</v>
      </c>
      <c r="R41" s="43">
        <v>0</v>
      </c>
      <c r="S41" s="43">
        <v>144566245.93000004</v>
      </c>
      <c r="T41" s="43">
        <v>0</v>
      </c>
      <c r="U41" s="43">
        <v>49378131.939999998</v>
      </c>
      <c r="V41" s="43">
        <v>0</v>
      </c>
      <c r="W41" s="43">
        <v>37659.25</v>
      </c>
      <c r="X41" s="43">
        <v>1583537602.8700008</v>
      </c>
      <c r="Y41" s="43">
        <v>1070678142.13</v>
      </c>
      <c r="Z41" s="43">
        <v>0</v>
      </c>
      <c r="AA41" s="43">
        <v>11057957.890000001</v>
      </c>
      <c r="AB41" s="43">
        <v>436295397</v>
      </c>
      <c r="AC41" s="43">
        <v>0</v>
      </c>
      <c r="AD41" s="43">
        <v>65506105.850000888</v>
      </c>
      <c r="AE41" s="51"/>
      <c r="AF41" s="51"/>
      <c r="AG41" s="51"/>
    </row>
    <row r="42" spans="1:33" ht="12.75" customHeight="1">
      <c r="A42" s="40" t="s">
        <v>115</v>
      </c>
      <c r="B42" s="41">
        <v>1049</v>
      </c>
      <c r="C42" s="42" t="s">
        <v>415</v>
      </c>
      <c r="D42" s="43">
        <v>6009429983.3800001</v>
      </c>
      <c r="E42" s="43">
        <v>2424609.1199999992</v>
      </c>
      <c r="F42" s="43">
        <v>152662252.43000004</v>
      </c>
      <c r="G42" s="43">
        <v>2667086.400000006</v>
      </c>
      <c r="H42" s="43">
        <v>143785168.75</v>
      </c>
      <c r="I42" s="43">
        <v>5613711555.7700005</v>
      </c>
      <c r="J42" s="43">
        <v>61498430.940000013</v>
      </c>
      <c r="K42" s="43">
        <v>7933774.6200000048</v>
      </c>
      <c r="L42" s="43">
        <v>24747105.349999994</v>
      </c>
      <c r="M42" s="43">
        <v>0</v>
      </c>
      <c r="N42" s="43">
        <v>15672877.390000001</v>
      </c>
      <c r="O42" s="43">
        <v>0</v>
      </c>
      <c r="P42" s="43">
        <v>0</v>
      </c>
      <c r="Q42" s="43">
        <v>0</v>
      </c>
      <c r="R42" s="43">
        <v>0</v>
      </c>
      <c r="S42" s="43">
        <v>9644878.1400000006</v>
      </c>
      <c r="T42" s="43">
        <v>0</v>
      </c>
      <c r="U42" s="43">
        <v>6027999.25</v>
      </c>
      <c r="V42" s="43">
        <v>0</v>
      </c>
      <c r="W42" s="43">
        <v>0</v>
      </c>
      <c r="X42" s="43">
        <v>2274300936.7000003</v>
      </c>
      <c r="Y42" s="43">
        <v>2360735000</v>
      </c>
      <c r="Z42" s="43">
        <v>0</v>
      </c>
      <c r="AA42" s="43">
        <v>9.9999979138374329E-3</v>
      </c>
      <c r="AB42" s="43">
        <v>290897926.10000002</v>
      </c>
      <c r="AC42" s="43">
        <v>-435149580.98000002</v>
      </c>
      <c r="AD42" s="43">
        <v>57817591.57</v>
      </c>
      <c r="AE42" s="51"/>
      <c r="AF42" s="51"/>
      <c r="AG42" s="51"/>
    </row>
    <row r="43" spans="1:33" ht="12.75" customHeight="1">
      <c r="A43" s="40" t="s">
        <v>118</v>
      </c>
      <c r="B43" s="41">
        <v>1051</v>
      </c>
      <c r="C43" s="42" t="s">
        <v>415</v>
      </c>
      <c r="D43" s="43">
        <v>365647034.12</v>
      </c>
      <c r="E43" s="43">
        <v>6928433.959999999</v>
      </c>
      <c r="F43" s="43">
        <v>48926437.290000007</v>
      </c>
      <c r="G43" s="43">
        <v>33946541.07</v>
      </c>
      <c r="H43" s="43">
        <v>35633864.119999997</v>
      </c>
      <c r="I43" s="43">
        <v>236056087.32999995</v>
      </c>
      <c r="J43" s="43">
        <v>2206537.39</v>
      </c>
      <c r="K43" s="43">
        <v>1133825.6000000001</v>
      </c>
      <c r="L43" s="43">
        <v>815307.36</v>
      </c>
      <c r="M43" s="43">
        <v>0</v>
      </c>
      <c r="N43" s="43">
        <v>42920061.120000005</v>
      </c>
      <c r="O43" s="43">
        <v>2267465.41</v>
      </c>
      <c r="P43" s="43">
        <v>0</v>
      </c>
      <c r="Q43" s="43">
        <v>0</v>
      </c>
      <c r="R43" s="43">
        <v>0</v>
      </c>
      <c r="S43" s="43">
        <v>40640951.490000002</v>
      </c>
      <c r="T43" s="43">
        <v>0</v>
      </c>
      <c r="U43" s="43">
        <v>11644.22</v>
      </c>
      <c r="V43" s="43">
        <v>0</v>
      </c>
      <c r="W43" s="43">
        <v>0</v>
      </c>
      <c r="X43" s="43">
        <v>499895058.37999994</v>
      </c>
      <c r="Y43" s="43">
        <v>338000000</v>
      </c>
      <c r="Z43" s="43">
        <v>0</v>
      </c>
      <c r="AA43" s="43">
        <v>8580719.5999999996</v>
      </c>
      <c r="AB43" s="43">
        <v>241572402.72999999</v>
      </c>
      <c r="AC43" s="43">
        <v>0</v>
      </c>
      <c r="AD43" s="43">
        <v>-88258063.950000107</v>
      </c>
      <c r="AE43" s="51"/>
      <c r="AF43" s="51"/>
      <c r="AG43" s="51"/>
    </row>
    <row r="44" spans="1:33" ht="12.75" customHeight="1">
      <c r="A44" s="40" t="s">
        <v>121</v>
      </c>
      <c r="B44" s="41">
        <v>1052</v>
      </c>
      <c r="C44" s="42" t="s">
        <v>415</v>
      </c>
      <c r="D44" s="43">
        <v>238119135.39999998</v>
      </c>
      <c r="E44" s="43">
        <v>10119891.859999999</v>
      </c>
      <c r="F44" s="43">
        <v>58342337.840000004</v>
      </c>
      <c r="G44" s="43">
        <v>103009.53</v>
      </c>
      <c r="H44" s="43">
        <v>7904394.0199999996</v>
      </c>
      <c r="I44" s="43">
        <v>105463862.26000001</v>
      </c>
      <c r="J44" s="43">
        <v>52998815.350000001</v>
      </c>
      <c r="K44" s="43">
        <v>1999788</v>
      </c>
      <c r="L44" s="43">
        <v>1187036.54</v>
      </c>
      <c r="M44" s="43">
        <v>0</v>
      </c>
      <c r="N44" s="43">
        <v>12472428.030000001</v>
      </c>
      <c r="O44" s="43">
        <v>6975807.0300000003</v>
      </c>
      <c r="P44" s="43">
        <v>0</v>
      </c>
      <c r="Q44" s="43">
        <v>0</v>
      </c>
      <c r="R44" s="43">
        <v>0</v>
      </c>
      <c r="S44" s="43">
        <v>1911182</v>
      </c>
      <c r="T44" s="43">
        <v>0</v>
      </c>
      <c r="U44" s="43">
        <v>3585439</v>
      </c>
      <c r="V44" s="43">
        <v>0</v>
      </c>
      <c r="W44" s="43">
        <v>0</v>
      </c>
      <c r="X44" s="43">
        <v>1343506547.6999998</v>
      </c>
      <c r="Y44" s="43">
        <v>1377499348</v>
      </c>
      <c r="Z44" s="43">
        <v>0</v>
      </c>
      <c r="AA44" s="43">
        <v>1559646.35</v>
      </c>
      <c r="AB44" s="43">
        <v>2673281.52</v>
      </c>
      <c r="AC44" s="43">
        <v>-117260449.73</v>
      </c>
      <c r="AD44" s="43">
        <v>79034721.559999973</v>
      </c>
      <c r="AE44" s="51"/>
      <c r="AF44" s="51"/>
      <c r="AG44" s="51"/>
    </row>
    <row r="45" spans="1:33" ht="12.75" customHeight="1">
      <c r="A45" s="40" t="s">
        <v>124</v>
      </c>
      <c r="B45" s="41">
        <v>1053</v>
      </c>
      <c r="C45" s="42" t="s">
        <v>415</v>
      </c>
      <c r="D45" s="43">
        <v>32359318656.41</v>
      </c>
      <c r="E45" s="43">
        <v>29774493.419999998</v>
      </c>
      <c r="F45" s="43">
        <v>673328896.99000001</v>
      </c>
      <c r="G45" s="43">
        <v>630463.47</v>
      </c>
      <c r="H45" s="43">
        <v>579014413.06999993</v>
      </c>
      <c r="I45" s="43">
        <v>29704992864.889999</v>
      </c>
      <c r="J45" s="43">
        <v>1100975399.0899999</v>
      </c>
      <c r="K45" s="43">
        <v>112933943.93000001</v>
      </c>
      <c r="L45" s="43">
        <v>157668181.55000001</v>
      </c>
      <c r="M45" s="43">
        <v>0</v>
      </c>
      <c r="N45" s="43">
        <v>858724099.29999995</v>
      </c>
      <c r="O45" s="43">
        <v>53223017.729999997</v>
      </c>
      <c r="P45" s="43">
        <v>0</v>
      </c>
      <c r="Q45" s="43">
        <v>0</v>
      </c>
      <c r="R45" s="43">
        <v>0</v>
      </c>
      <c r="S45" s="43">
        <v>93127617.060000002</v>
      </c>
      <c r="T45" s="43">
        <v>0</v>
      </c>
      <c r="U45" s="43">
        <v>12477505.5</v>
      </c>
      <c r="V45" s="43">
        <v>0</v>
      </c>
      <c r="W45" s="43">
        <v>699895959.00999999</v>
      </c>
      <c r="X45" s="43">
        <v>12204752362.849998</v>
      </c>
      <c r="Y45" s="43">
        <v>786791768</v>
      </c>
      <c r="Z45" s="43">
        <v>0</v>
      </c>
      <c r="AA45" s="43">
        <v>1235410879.1100001</v>
      </c>
      <c r="AB45" s="43">
        <v>5930953599.9499998</v>
      </c>
      <c r="AC45" s="43">
        <v>0</v>
      </c>
      <c r="AD45" s="43">
        <v>4251596115.7899995</v>
      </c>
      <c r="AE45" s="51"/>
      <c r="AF45" s="51"/>
      <c r="AG45" s="51"/>
    </row>
    <row r="46" spans="1:33" ht="12.75" customHeight="1">
      <c r="A46" s="40" t="s">
        <v>127</v>
      </c>
      <c r="B46" s="41">
        <v>1054</v>
      </c>
      <c r="C46" s="42" t="s">
        <v>415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51"/>
      <c r="AF46" s="51"/>
      <c r="AG46" s="51"/>
    </row>
    <row r="47" spans="1:33" ht="12.75" customHeight="1">
      <c r="A47" s="40" t="s">
        <v>130</v>
      </c>
      <c r="B47" s="41">
        <v>1055</v>
      </c>
      <c r="C47" s="42" t="s">
        <v>415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51"/>
      <c r="AF47" s="51"/>
      <c r="AG47" s="51"/>
    </row>
    <row r="48" spans="1:33" ht="12.75" customHeight="1">
      <c r="A48" s="40" t="s">
        <v>133</v>
      </c>
      <c r="B48" s="41">
        <v>1056</v>
      </c>
      <c r="C48" s="42" t="s">
        <v>415</v>
      </c>
      <c r="D48" s="43">
        <v>6704751955.3099995</v>
      </c>
      <c r="E48" s="43">
        <v>3719096.4</v>
      </c>
      <c r="F48" s="43">
        <v>89353673.109999999</v>
      </c>
      <c r="G48" s="43">
        <v>8998702.8800000008</v>
      </c>
      <c r="H48" s="43">
        <v>190146841.5</v>
      </c>
      <c r="I48" s="43">
        <v>6142007383.5</v>
      </c>
      <c r="J48" s="43">
        <v>262942507.51999998</v>
      </c>
      <c r="K48" s="43">
        <v>4280693.09</v>
      </c>
      <c r="L48" s="43">
        <v>2342267.91</v>
      </c>
      <c r="M48" s="43">
        <v>960789.4</v>
      </c>
      <c r="N48" s="43">
        <v>40773471.099999994</v>
      </c>
      <c r="O48" s="43">
        <v>2704176.61</v>
      </c>
      <c r="P48" s="43">
        <v>0</v>
      </c>
      <c r="Q48" s="43">
        <v>0</v>
      </c>
      <c r="R48" s="43">
        <v>31129891.219999999</v>
      </c>
      <c r="S48" s="43">
        <v>4307125.55</v>
      </c>
      <c r="T48" s="43">
        <v>0</v>
      </c>
      <c r="U48" s="43">
        <v>2602964</v>
      </c>
      <c r="V48" s="43">
        <v>29313.72</v>
      </c>
      <c r="W48" s="43">
        <v>0</v>
      </c>
      <c r="X48" s="43">
        <v>3947530712.1300001</v>
      </c>
      <c r="Y48" s="43">
        <v>1500000000</v>
      </c>
      <c r="Z48" s="43">
        <v>1300673682.3</v>
      </c>
      <c r="AA48" s="43">
        <v>25453765.190000001</v>
      </c>
      <c r="AB48" s="43">
        <v>607834206.63999999</v>
      </c>
      <c r="AC48" s="43">
        <v>0</v>
      </c>
      <c r="AD48" s="43">
        <v>513569058</v>
      </c>
      <c r="AE48" s="51"/>
      <c r="AF48" s="51"/>
      <c r="AG48" s="51"/>
    </row>
    <row r="49" spans="1:33" ht="12.75" customHeight="1">
      <c r="A49" s="40" t="s">
        <v>136</v>
      </c>
      <c r="B49" s="41">
        <v>1057</v>
      </c>
      <c r="C49" s="42" t="s">
        <v>415</v>
      </c>
      <c r="D49" s="43">
        <v>2601267393.3699999</v>
      </c>
      <c r="E49" s="43">
        <v>208682.58000000007</v>
      </c>
      <c r="F49" s="43">
        <v>1511368150.77</v>
      </c>
      <c r="G49" s="43">
        <v>11027697.82</v>
      </c>
      <c r="H49" s="43">
        <v>23787767.34</v>
      </c>
      <c r="I49" s="43">
        <v>878711835.19000006</v>
      </c>
      <c r="J49" s="43">
        <v>26370903.12999998</v>
      </c>
      <c r="K49" s="43">
        <v>143940376.66</v>
      </c>
      <c r="L49" s="43">
        <v>5851979.8799999999</v>
      </c>
      <c r="M49" s="43">
        <v>0</v>
      </c>
      <c r="N49" s="43">
        <v>53471873.799999997</v>
      </c>
      <c r="O49" s="43">
        <v>3188431.57</v>
      </c>
      <c r="P49" s="43">
        <v>0</v>
      </c>
      <c r="Q49" s="43">
        <v>0</v>
      </c>
      <c r="R49" s="43">
        <v>0</v>
      </c>
      <c r="S49" s="43">
        <v>49917311.229999997</v>
      </c>
      <c r="T49" s="43">
        <v>0</v>
      </c>
      <c r="U49" s="43">
        <v>366131</v>
      </c>
      <c r="V49" s="43">
        <v>0</v>
      </c>
      <c r="W49" s="43">
        <v>0</v>
      </c>
      <c r="X49" s="43">
        <v>875594043.31999993</v>
      </c>
      <c r="Y49" s="43">
        <v>698335601</v>
      </c>
      <c r="Z49" s="43">
        <v>0</v>
      </c>
      <c r="AA49" s="43">
        <v>941885.42999999993</v>
      </c>
      <c r="AB49" s="43">
        <v>86689503.530000001</v>
      </c>
      <c r="AC49" s="43">
        <v>-32433977.57</v>
      </c>
      <c r="AD49" s="43">
        <v>122061030.93000001</v>
      </c>
      <c r="AE49" s="51"/>
      <c r="AF49" s="51"/>
      <c r="AG49" s="51"/>
    </row>
    <row r="50" spans="1:33" ht="12.75" customHeight="1">
      <c r="A50" s="40" t="s">
        <v>139</v>
      </c>
      <c r="B50" s="41">
        <v>1058</v>
      </c>
      <c r="C50" s="42" t="s">
        <v>415</v>
      </c>
      <c r="D50" s="43">
        <v>1544789715.4899998</v>
      </c>
      <c r="E50" s="43">
        <v>0</v>
      </c>
      <c r="F50" s="43">
        <v>179249680.72999999</v>
      </c>
      <c r="G50" s="43">
        <v>6292782.3600000003</v>
      </c>
      <c r="H50" s="43">
        <v>28436058.48</v>
      </c>
      <c r="I50" s="43">
        <v>1109826643.1799998</v>
      </c>
      <c r="J50" s="43">
        <v>56526825.150000006</v>
      </c>
      <c r="K50" s="43">
        <v>89376016.459999993</v>
      </c>
      <c r="L50" s="43">
        <v>75081709.129999995</v>
      </c>
      <c r="M50" s="43">
        <v>0</v>
      </c>
      <c r="N50" s="43">
        <v>20418782.119999997</v>
      </c>
      <c r="O50" s="43">
        <v>0</v>
      </c>
      <c r="P50" s="43">
        <v>0</v>
      </c>
      <c r="Q50" s="43">
        <v>0</v>
      </c>
      <c r="R50" s="43">
        <v>0</v>
      </c>
      <c r="S50" s="43">
        <v>15270041.119999999</v>
      </c>
      <c r="T50" s="43">
        <v>0</v>
      </c>
      <c r="U50" s="43">
        <v>5148741</v>
      </c>
      <c r="V50" s="43">
        <v>0</v>
      </c>
      <c r="W50" s="43">
        <v>0</v>
      </c>
      <c r="X50" s="43">
        <v>688721562.63999999</v>
      </c>
      <c r="Y50" s="43">
        <v>220000000</v>
      </c>
      <c r="Z50" s="43">
        <v>0</v>
      </c>
      <c r="AA50" s="43">
        <v>6780265.8300000001</v>
      </c>
      <c r="AB50" s="43">
        <v>371176431.67000002</v>
      </c>
      <c r="AC50" s="43">
        <v>0</v>
      </c>
      <c r="AD50" s="43">
        <v>90764865.140000001</v>
      </c>
      <c r="AE50" s="51"/>
      <c r="AF50" s="51"/>
      <c r="AG50" s="51"/>
    </row>
    <row r="51" spans="1:33" ht="12.75" customHeight="1">
      <c r="A51" s="40" t="s">
        <v>142</v>
      </c>
      <c r="B51" s="41">
        <v>1059</v>
      </c>
      <c r="C51" s="42" t="s">
        <v>415</v>
      </c>
      <c r="D51" s="43">
        <v>778063609</v>
      </c>
      <c r="E51" s="43">
        <v>2985784.7</v>
      </c>
      <c r="F51" s="43">
        <v>3749188.12</v>
      </c>
      <c r="G51" s="43">
        <v>1697146.54</v>
      </c>
      <c r="H51" s="43">
        <v>54878555.339999996</v>
      </c>
      <c r="I51" s="43">
        <v>651752079.52999997</v>
      </c>
      <c r="J51" s="43">
        <v>12967187.810000001</v>
      </c>
      <c r="K51" s="43">
        <v>26675136.440000001</v>
      </c>
      <c r="L51" s="43">
        <v>23358530.52</v>
      </c>
      <c r="M51" s="43">
        <v>0</v>
      </c>
      <c r="N51" s="43">
        <v>347438274.31999999</v>
      </c>
      <c r="O51" s="43">
        <v>4784557.9400000004</v>
      </c>
      <c r="P51" s="43">
        <v>0</v>
      </c>
      <c r="Q51" s="43">
        <v>0</v>
      </c>
      <c r="R51" s="43">
        <v>0</v>
      </c>
      <c r="S51" s="43">
        <v>339510322.90999997</v>
      </c>
      <c r="T51" s="43">
        <v>0</v>
      </c>
      <c r="U51" s="43">
        <v>3143393.47</v>
      </c>
      <c r="V51" s="43">
        <v>0</v>
      </c>
      <c r="W51" s="43">
        <v>0</v>
      </c>
      <c r="X51" s="43">
        <v>434906046.43000025</v>
      </c>
      <c r="Y51" s="43">
        <v>355000000</v>
      </c>
      <c r="Z51" s="43">
        <v>0</v>
      </c>
      <c r="AA51" s="43">
        <v>59787.67</v>
      </c>
      <c r="AB51" s="43">
        <v>5151288.53</v>
      </c>
      <c r="AC51" s="43">
        <v>-40733721.740000002</v>
      </c>
      <c r="AD51" s="43">
        <v>115428691.97000027</v>
      </c>
      <c r="AE51" s="51"/>
      <c r="AF51" s="51"/>
      <c r="AG51" s="51"/>
    </row>
    <row r="52" spans="1:33" ht="12.75" customHeight="1">
      <c r="A52" s="40" t="s">
        <v>145</v>
      </c>
      <c r="B52" s="41">
        <v>1060</v>
      </c>
      <c r="C52" s="42" t="s">
        <v>415</v>
      </c>
      <c r="D52" s="43">
        <v>18872019.300000001</v>
      </c>
      <c r="E52" s="43">
        <v>0</v>
      </c>
      <c r="F52" s="43">
        <v>0</v>
      </c>
      <c r="G52" s="43">
        <v>2211057.31</v>
      </c>
      <c r="H52" s="43">
        <v>9709305.6699999999</v>
      </c>
      <c r="I52" s="43">
        <v>2319948.84</v>
      </c>
      <c r="J52" s="43">
        <v>2352693.48</v>
      </c>
      <c r="K52" s="43">
        <v>2279014</v>
      </c>
      <c r="L52" s="43">
        <v>0</v>
      </c>
      <c r="M52" s="43">
        <v>0</v>
      </c>
      <c r="N52" s="43">
        <v>5080689.5600000005</v>
      </c>
      <c r="O52" s="43">
        <v>0</v>
      </c>
      <c r="P52" s="43">
        <v>0</v>
      </c>
      <c r="Q52" s="43">
        <v>0</v>
      </c>
      <c r="R52" s="43">
        <v>0</v>
      </c>
      <c r="S52" s="43">
        <v>877424.56</v>
      </c>
      <c r="T52" s="43">
        <v>0</v>
      </c>
      <c r="U52" s="43">
        <v>4203265</v>
      </c>
      <c r="V52" s="43">
        <v>0</v>
      </c>
      <c r="W52" s="43">
        <v>0</v>
      </c>
      <c r="X52" s="43">
        <v>989613142.47000015</v>
      </c>
      <c r="Y52" s="43">
        <v>830000000</v>
      </c>
      <c r="Z52" s="43">
        <v>0</v>
      </c>
      <c r="AA52" s="43">
        <v>0</v>
      </c>
      <c r="AB52" s="43">
        <v>186495339.69</v>
      </c>
      <c r="AC52" s="43">
        <v>0</v>
      </c>
      <c r="AD52" s="43">
        <v>-26882197.219999898</v>
      </c>
      <c r="AE52" s="51"/>
      <c r="AF52" s="51"/>
      <c r="AG52" s="51"/>
    </row>
    <row r="53" spans="1:33" ht="12.75" customHeight="1">
      <c r="A53" s="40" t="s">
        <v>148</v>
      </c>
      <c r="B53" s="41">
        <v>1061</v>
      </c>
      <c r="C53" s="42" t="s">
        <v>415</v>
      </c>
      <c r="D53" s="43">
        <v>5128984278.2699966</v>
      </c>
      <c r="E53" s="43">
        <v>1829888.5600000005</v>
      </c>
      <c r="F53" s="43">
        <v>3805432.59</v>
      </c>
      <c r="G53" s="43">
        <v>3592616.64</v>
      </c>
      <c r="H53" s="43">
        <v>1007289550.9299983</v>
      </c>
      <c r="I53" s="43">
        <v>3979430140.7799988</v>
      </c>
      <c r="J53" s="43">
        <v>42902141.149999991</v>
      </c>
      <c r="K53" s="43">
        <v>24739197.739999998</v>
      </c>
      <c r="L53" s="43">
        <v>55818334.25</v>
      </c>
      <c r="M53" s="43">
        <v>9576975.6300000008</v>
      </c>
      <c r="N53" s="43">
        <v>40923034.460000001</v>
      </c>
      <c r="O53" s="43">
        <v>20510673.32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3773035.1399999997</v>
      </c>
      <c r="V53" s="43">
        <v>0</v>
      </c>
      <c r="W53" s="43">
        <v>16639326</v>
      </c>
      <c r="X53" s="43">
        <v>2510698933.9700007</v>
      </c>
      <c r="Y53" s="43">
        <v>1850000000</v>
      </c>
      <c r="Z53" s="43">
        <v>229000000</v>
      </c>
      <c r="AA53" s="43">
        <v>318308026.10000002</v>
      </c>
      <c r="AB53" s="43">
        <v>0</v>
      </c>
      <c r="AC53" s="43">
        <v>0</v>
      </c>
      <c r="AD53" s="43">
        <v>113390907.87000102</v>
      </c>
      <c r="AE53" s="51"/>
      <c r="AF53" s="51"/>
      <c r="AG53" s="51"/>
    </row>
    <row r="54" spans="1:33" ht="12.75" customHeight="1">
      <c r="A54" s="40" t="s">
        <v>1</v>
      </c>
      <c r="B54" s="41">
        <v>2001</v>
      </c>
      <c r="C54" s="42" t="s">
        <v>415</v>
      </c>
      <c r="D54" s="43">
        <v>33023771953.379944</v>
      </c>
      <c r="E54" s="43">
        <v>32546966.110000014</v>
      </c>
      <c r="F54" s="43">
        <v>7341002376.2099915</v>
      </c>
      <c r="G54" s="43">
        <v>40541003.929999948</v>
      </c>
      <c r="H54" s="43">
        <v>19678314.480000615</v>
      </c>
      <c r="I54" s="43">
        <v>24647164249.899956</v>
      </c>
      <c r="J54" s="43">
        <v>-82053249.739999771</v>
      </c>
      <c r="K54" s="43">
        <v>965011864.77999878</v>
      </c>
      <c r="L54" s="43">
        <v>59880427.710000038</v>
      </c>
      <c r="M54" s="43">
        <v>0</v>
      </c>
      <c r="N54" s="43">
        <v>82032595.649999887</v>
      </c>
      <c r="O54" s="43">
        <v>0</v>
      </c>
      <c r="P54" s="43">
        <v>0</v>
      </c>
      <c r="Q54" s="43">
        <v>0</v>
      </c>
      <c r="R54" s="43">
        <v>0</v>
      </c>
      <c r="S54" s="43">
        <v>7248110</v>
      </c>
      <c r="T54" s="43">
        <v>0</v>
      </c>
      <c r="U54" s="43">
        <v>73474517.249999881</v>
      </c>
      <c r="V54" s="43">
        <v>0</v>
      </c>
      <c r="W54" s="43">
        <v>1309968.3999999999</v>
      </c>
      <c r="X54" s="43">
        <v>13312995210.920198</v>
      </c>
      <c r="Y54" s="43">
        <v>183860320</v>
      </c>
      <c r="Z54" s="43">
        <v>0</v>
      </c>
      <c r="AA54" s="43">
        <v>349999722.79000068</v>
      </c>
      <c r="AB54" s="43">
        <v>10529092922.020233</v>
      </c>
      <c r="AC54" s="43">
        <v>0</v>
      </c>
      <c r="AD54" s="43">
        <v>2250042246.1099648</v>
      </c>
      <c r="AE54" s="51"/>
      <c r="AF54" s="51"/>
      <c r="AG54" s="51"/>
    </row>
    <row r="55" spans="1:33" ht="12.75" customHeight="1">
      <c r="A55" s="40" t="s">
        <v>153</v>
      </c>
      <c r="B55" s="41">
        <v>2002</v>
      </c>
      <c r="C55" s="42" t="s">
        <v>416</v>
      </c>
      <c r="D55" s="43">
        <v>2595050312.7799997</v>
      </c>
      <c r="E55" s="43">
        <v>9530220.870000001</v>
      </c>
      <c r="F55" s="43">
        <v>391541008.30999994</v>
      </c>
      <c r="G55" s="43">
        <v>9015912.6099999994</v>
      </c>
      <c r="H55" s="43">
        <v>9977710.4099999815</v>
      </c>
      <c r="I55" s="43">
        <v>1905261163.71</v>
      </c>
      <c r="J55" s="43">
        <v>57134457.620000005</v>
      </c>
      <c r="K55" s="43">
        <v>212589839.25</v>
      </c>
      <c r="L55" s="43">
        <v>0</v>
      </c>
      <c r="M55" s="43">
        <v>0</v>
      </c>
      <c r="N55" s="43">
        <v>387081524.07000005</v>
      </c>
      <c r="O55" s="43">
        <v>7524283.7100000009</v>
      </c>
      <c r="P55" s="43">
        <v>0</v>
      </c>
      <c r="Q55" s="43">
        <v>0</v>
      </c>
      <c r="R55" s="43">
        <v>0</v>
      </c>
      <c r="S55" s="43">
        <v>376839415.99000007</v>
      </c>
      <c r="T55" s="43">
        <v>0</v>
      </c>
      <c r="U55" s="43">
        <v>2717824.3699999992</v>
      </c>
      <c r="V55" s="43">
        <v>0</v>
      </c>
      <c r="W55" s="43">
        <v>0</v>
      </c>
      <c r="X55" s="43">
        <v>1012277687.4599984</v>
      </c>
      <c r="Y55" s="43">
        <v>18147000</v>
      </c>
      <c r="Z55" s="43">
        <v>0</v>
      </c>
      <c r="AA55" s="43">
        <v>101789331.81</v>
      </c>
      <c r="AB55" s="43">
        <v>477860328.79999995</v>
      </c>
      <c r="AC55" s="43">
        <v>0</v>
      </c>
      <c r="AD55" s="43">
        <v>414481026.84999847</v>
      </c>
      <c r="AE55" s="51"/>
      <c r="AF55" s="51"/>
      <c r="AG55" s="51"/>
    </row>
    <row r="56" spans="1:33" ht="12.75" customHeight="1">
      <c r="A56" s="40" t="s">
        <v>4</v>
      </c>
      <c r="B56" s="41">
        <v>2005</v>
      </c>
      <c r="C56" s="42" t="s">
        <v>416</v>
      </c>
      <c r="D56" s="43">
        <v>1491666861.5799997</v>
      </c>
      <c r="E56" s="43">
        <v>13259660.07</v>
      </c>
      <c r="F56" s="43">
        <v>216854628.77999997</v>
      </c>
      <c r="G56" s="43">
        <v>0</v>
      </c>
      <c r="H56" s="43">
        <v>12695764.92</v>
      </c>
      <c r="I56" s="43">
        <v>1211383117.8899999</v>
      </c>
      <c r="J56" s="43">
        <v>13845650.870000001</v>
      </c>
      <c r="K56" s="43">
        <v>23500055.350000001</v>
      </c>
      <c r="L56" s="43">
        <v>127983.7</v>
      </c>
      <c r="M56" s="43">
        <v>0</v>
      </c>
      <c r="N56" s="43">
        <v>24404904.119999997</v>
      </c>
      <c r="O56" s="43">
        <v>3771342.1</v>
      </c>
      <c r="P56" s="43">
        <v>0</v>
      </c>
      <c r="Q56" s="43">
        <v>0</v>
      </c>
      <c r="R56" s="43">
        <v>0</v>
      </c>
      <c r="S56" s="43">
        <v>5502278.25</v>
      </c>
      <c r="T56" s="43">
        <v>0</v>
      </c>
      <c r="U56" s="43">
        <v>15131283.77</v>
      </c>
      <c r="V56" s="43">
        <v>0</v>
      </c>
      <c r="W56" s="43">
        <v>0</v>
      </c>
      <c r="X56" s="43">
        <v>543316604.97000003</v>
      </c>
      <c r="Y56" s="43">
        <v>45750000</v>
      </c>
      <c r="Z56" s="43">
        <v>0</v>
      </c>
      <c r="AA56" s="43">
        <v>-4915208.37</v>
      </c>
      <c r="AB56" s="43">
        <v>403328131.63999999</v>
      </c>
      <c r="AC56" s="43">
        <v>-9772644.6799999997</v>
      </c>
      <c r="AD56" s="43">
        <v>108926326.38</v>
      </c>
      <c r="AE56" s="51"/>
      <c r="AF56" s="51"/>
      <c r="AG56" s="51"/>
    </row>
    <row r="57" spans="1:33" ht="12.75" customHeight="1">
      <c r="A57" s="40" t="s">
        <v>11</v>
      </c>
      <c r="B57" s="41">
        <v>2006</v>
      </c>
      <c r="C57" s="42" t="s">
        <v>417</v>
      </c>
      <c r="D57" s="43">
        <v>1291964645.5699999</v>
      </c>
      <c r="E57" s="43">
        <v>1620688.8900000004</v>
      </c>
      <c r="F57" s="43">
        <v>527648384.04999995</v>
      </c>
      <c r="G57" s="43">
        <v>40690082.670000002</v>
      </c>
      <c r="H57" s="43">
        <v>172756758.92999998</v>
      </c>
      <c r="I57" s="43">
        <v>358790876.08999997</v>
      </c>
      <c r="J57" s="43">
        <v>52377406.560000017</v>
      </c>
      <c r="K57" s="43">
        <v>138963339.62</v>
      </c>
      <c r="L57" s="43">
        <v>-1831450.61</v>
      </c>
      <c r="M57" s="43">
        <v>948559.36999999988</v>
      </c>
      <c r="N57" s="43">
        <v>48533512450.660011</v>
      </c>
      <c r="O57" s="43">
        <v>486578.52</v>
      </c>
      <c r="P57" s="43">
        <v>47531848563.820007</v>
      </c>
      <c r="Q57" s="43">
        <v>0</v>
      </c>
      <c r="R57" s="43">
        <v>9725172.370000001</v>
      </c>
      <c r="S57" s="43">
        <v>981343418.08000004</v>
      </c>
      <c r="T57" s="43">
        <v>0</v>
      </c>
      <c r="U57" s="43">
        <v>10108717.869999999</v>
      </c>
      <c r="V57" s="43">
        <v>0</v>
      </c>
      <c r="W57" s="43">
        <v>0</v>
      </c>
      <c r="X57" s="43">
        <v>2259038027.8800001</v>
      </c>
      <c r="Y57" s="43">
        <v>2147457684.04</v>
      </c>
      <c r="Z57" s="43">
        <v>362253667.80000001</v>
      </c>
      <c r="AA57" s="43">
        <v>27017874.200000003</v>
      </c>
      <c r="AB57" s="43">
        <v>0</v>
      </c>
      <c r="AC57" s="43">
        <v>-331153471.60000002</v>
      </c>
      <c r="AD57" s="43">
        <v>53462273.440000117</v>
      </c>
      <c r="AE57" s="51"/>
      <c r="AF57" s="51"/>
      <c r="AG57" s="51"/>
    </row>
    <row r="58" spans="1:33" ht="12.75" customHeight="1">
      <c r="A58" s="40" t="s">
        <v>160</v>
      </c>
      <c r="B58" s="41">
        <v>2007</v>
      </c>
      <c r="C58" s="42" t="s">
        <v>416</v>
      </c>
      <c r="D58" s="43">
        <v>220723082.33999997</v>
      </c>
      <c r="E58" s="43">
        <v>6351090.5899999999</v>
      </c>
      <c r="F58" s="43">
        <v>32598655.529999994</v>
      </c>
      <c r="G58" s="43">
        <v>37532810.219999999</v>
      </c>
      <c r="H58" s="43">
        <v>13127884.17</v>
      </c>
      <c r="I58" s="43">
        <v>64901821.579999998</v>
      </c>
      <c r="J58" s="43">
        <v>42520416.420000017</v>
      </c>
      <c r="K58" s="43">
        <v>22583810.649999999</v>
      </c>
      <c r="L58" s="43">
        <v>0</v>
      </c>
      <c r="M58" s="43">
        <v>1106593.1799999799</v>
      </c>
      <c r="N58" s="43">
        <v>183318460.88999999</v>
      </c>
      <c r="O58" s="43">
        <v>2566713.7400000002</v>
      </c>
      <c r="P58" s="43">
        <v>0</v>
      </c>
      <c r="Q58" s="43">
        <v>0</v>
      </c>
      <c r="R58" s="43">
        <v>0</v>
      </c>
      <c r="S58" s="43">
        <v>174160686.92999998</v>
      </c>
      <c r="T58" s="43">
        <v>0</v>
      </c>
      <c r="U58" s="43">
        <v>6591060.2199999997</v>
      </c>
      <c r="V58" s="43">
        <v>0</v>
      </c>
      <c r="W58" s="43">
        <v>0</v>
      </c>
      <c r="X58" s="43">
        <v>1408411612.8399999</v>
      </c>
      <c r="Y58" s="43">
        <v>1195000000</v>
      </c>
      <c r="Z58" s="43">
        <v>0</v>
      </c>
      <c r="AA58" s="43">
        <v>-4036877.5000000098</v>
      </c>
      <c r="AB58" s="43">
        <v>103409408.81999999</v>
      </c>
      <c r="AC58" s="43">
        <v>-1325555.4099999999</v>
      </c>
      <c r="AD58" s="43">
        <v>115364636.93000001</v>
      </c>
      <c r="AE58" s="51"/>
      <c r="AF58" s="51"/>
      <c r="AG58" s="51"/>
    </row>
    <row r="59" spans="1:33" ht="12.75" customHeight="1">
      <c r="A59" s="40" t="s">
        <v>163</v>
      </c>
      <c r="B59" s="41">
        <v>2008</v>
      </c>
      <c r="C59" s="42" t="s">
        <v>416</v>
      </c>
      <c r="D59" s="43">
        <v>310643274.75999999</v>
      </c>
      <c r="E59" s="43">
        <v>2029667.55</v>
      </c>
      <c r="F59" s="43">
        <v>6041196.46</v>
      </c>
      <c r="G59" s="43">
        <v>24717.37</v>
      </c>
      <c r="H59" s="43">
        <v>8391669.4199999999</v>
      </c>
      <c r="I59" s="43">
        <v>282517139.65999997</v>
      </c>
      <c r="J59" s="43">
        <v>9303645.5300000012</v>
      </c>
      <c r="K59" s="43">
        <v>2335238.77</v>
      </c>
      <c r="L59" s="43">
        <v>0</v>
      </c>
      <c r="M59" s="43">
        <v>0</v>
      </c>
      <c r="N59" s="43">
        <v>17471608.469999999</v>
      </c>
      <c r="O59" s="43">
        <v>7322549.1200000001</v>
      </c>
      <c r="P59" s="43">
        <v>0</v>
      </c>
      <c r="Q59" s="43">
        <v>0</v>
      </c>
      <c r="R59" s="43">
        <v>0</v>
      </c>
      <c r="S59" s="43">
        <v>7998325.8300000001</v>
      </c>
      <c r="T59" s="43">
        <v>0</v>
      </c>
      <c r="U59" s="43">
        <v>2150733.52</v>
      </c>
      <c r="V59" s="43">
        <v>0</v>
      </c>
      <c r="W59" s="43">
        <v>0</v>
      </c>
      <c r="X59" s="43">
        <v>338007145.85000002</v>
      </c>
      <c r="Y59" s="43">
        <v>250000000</v>
      </c>
      <c r="Z59" s="43">
        <v>0</v>
      </c>
      <c r="AA59" s="43">
        <v>65096739.719999999</v>
      </c>
      <c r="AB59" s="43">
        <v>0</v>
      </c>
      <c r="AC59" s="43">
        <v>-11178880.439999999</v>
      </c>
      <c r="AD59" s="43">
        <v>34089286.57</v>
      </c>
      <c r="AE59" s="51"/>
      <c r="AF59" s="51"/>
      <c r="AG59" s="51"/>
    </row>
    <row r="60" spans="1:33" ht="12.75" customHeight="1">
      <c r="A60" s="40" t="s">
        <v>2</v>
      </c>
      <c r="B60" s="41">
        <v>3001</v>
      </c>
      <c r="C60" s="42" t="s">
        <v>417</v>
      </c>
      <c r="D60" s="43">
        <v>-4270823310.1900015</v>
      </c>
      <c r="E60" s="43">
        <v>335031823.98000002</v>
      </c>
      <c r="F60" s="43">
        <v>1117034903.26</v>
      </c>
      <c r="G60" s="43">
        <v>36839227.399999999</v>
      </c>
      <c r="H60" s="43">
        <v>192085440.90000001</v>
      </c>
      <c r="I60" s="43">
        <v>2696639218.4499998</v>
      </c>
      <c r="J60" s="43">
        <v>741967103.40999985</v>
      </c>
      <c r="K60" s="43">
        <v>0</v>
      </c>
      <c r="L60" s="43">
        <v>-9548947415.7900009</v>
      </c>
      <c r="M60" s="43">
        <v>158526388.19999999</v>
      </c>
      <c r="N60" s="43">
        <v>57294891262.139999</v>
      </c>
      <c r="O60" s="43">
        <v>432888220.09000003</v>
      </c>
      <c r="P60" s="43">
        <v>522173756.13000005</v>
      </c>
      <c r="Q60" s="43">
        <v>0</v>
      </c>
      <c r="R60" s="43">
        <v>0</v>
      </c>
      <c r="S60" s="43">
        <v>34542720268</v>
      </c>
      <c r="T60" s="43">
        <v>0</v>
      </c>
      <c r="U60" s="43">
        <v>129039566</v>
      </c>
      <c r="V60" s="43">
        <v>21668069451.919998</v>
      </c>
      <c r="W60" s="43">
        <v>0</v>
      </c>
      <c r="X60" s="43">
        <v>7650956127.0500002</v>
      </c>
      <c r="Y60" s="43">
        <v>256900000</v>
      </c>
      <c r="Z60" s="43">
        <v>0</v>
      </c>
      <c r="AA60" s="43">
        <v>5283420089.0500002</v>
      </c>
      <c r="AB60" s="43">
        <v>0</v>
      </c>
      <c r="AC60" s="43">
        <v>0</v>
      </c>
      <c r="AD60" s="43">
        <v>2110636038</v>
      </c>
      <c r="AE60" s="51"/>
      <c r="AF60" s="51"/>
      <c r="AG60" s="51"/>
    </row>
    <row r="61" spans="1:33" ht="12.75" customHeight="1">
      <c r="A61" s="40" t="s">
        <v>168</v>
      </c>
      <c r="B61" s="41">
        <v>3002</v>
      </c>
      <c r="C61" s="42" t="s">
        <v>417</v>
      </c>
      <c r="D61" s="43">
        <v>1758129229.9100018</v>
      </c>
      <c r="E61" s="43">
        <v>3596249.72</v>
      </c>
      <c r="F61" s="43">
        <v>415529445.37000167</v>
      </c>
      <c r="G61" s="43">
        <v>28454606.599999994</v>
      </c>
      <c r="H61" s="43">
        <v>26130399</v>
      </c>
      <c r="I61" s="43">
        <v>786052031.81999993</v>
      </c>
      <c r="J61" s="43">
        <v>139551470.44999999</v>
      </c>
      <c r="K61" s="43">
        <v>358815026.95000005</v>
      </c>
      <c r="L61" s="43">
        <v>0</v>
      </c>
      <c r="M61" s="43">
        <v>0</v>
      </c>
      <c r="N61" s="43">
        <v>69226690502.189987</v>
      </c>
      <c r="O61" s="43">
        <v>0</v>
      </c>
      <c r="P61" s="43">
        <v>64408918966.329979</v>
      </c>
      <c r="Q61" s="43">
        <v>0</v>
      </c>
      <c r="R61" s="43">
        <v>27168603.969999999</v>
      </c>
      <c r="S61" s="43">
        <v>4780720049.8399992</v>
      </c>
      <c r="T61" s="43">
        <v>0</v>
      </c>
      <c r="U61" s="43">
        <v>9882882.0500000007</v>
      </c>
      <c r="V61" s="43">
        <v>0</v>
      </c>
      <c r="W61" s="43">
        <v>0</v>
      </c>
      <c r="X61" s="43">
        <v>1085921054.49</v>
      </c>
      <c r="Y61" s="43">
        <v>78500000</v>
      </c>
      <c r="Z61" s="43">
        <v>151553.21</v>
      </c>
      <c r="AA61" s="43">
        <v>789853575.13</v>
      </c>
      <c r="AB61" s="43">
        <v>0</v>
      </c>
      <c r="AC61" s="43">
        <v>-5274414.84</v>
      </c>
      <c r="AD61" s="43">
        <v>222690340.98999992</v>
      </c>
      <c r="AE61" s="51"/>
      <c r="AF61" s="51"/>
      <c r="AG61" s="51"/>
    </row>
    <row r="62" spans="1:33" ht="12.75" customHeight="1">
      <c r="A62" s="40" t="s">
        <v>171</v>
      </c>
      <c r="B62" s="41">
        <v>3003</v>
      </c>
      <c r="C62" s="42" t="s">
        <v>417</v>
      </c>
      <c r="D62" s="43">
        <v>10166108972.850126</v>
      </c>
      <c r="E62" s="43">
        <v>26996314.379999995</v>
      </c>
      <c r="F62" s="43">
        <v>2453128971.2101269</v>
      </c>
      <c r="G62" s="43">
        <v>105926330.09999999</v>
      </c>
      <c r="H62" s="43">
        <v>47348877.609999999</v>
      </c>
      <c r="I62" s="43">
        <v>4896343455.6599998</v>
      </c>
      <c r="J62" s="43">
        <v>1275912002.76</v>
      </c>
      <c r="K62" s="43">
        <v>1360453021.1299994</v>
      </c>
      <c r="L62" s="43">
        <v>0</v>
      </c>
      <c r="M62" s="43">
        <v>0</v>
      </c>
      <c r="N62" s="43">
        <v>357827637631.80988</v>
      </c>
      <c r="O62" s="43">
        <v>5647615.6100000003</v>
      </c>
      <c r="P62" s="43">
        <v>333922503823.89978</v>
      </c>
      <c r="Q62" s="43">
        <v>0</v>
      </c>
      <c r="R62" s="43">
        <v>50921674.030000001</v>
      </c>
      <c r="S62" s="43">
        <v>23706467975.279999</v>
      </c>
      <c r="T62" s="43">
        <v>0</v>
      </c>
      <c r="U62" s="43">
        <v>129647351.89999998</v>
      </c>
      <c r="V62" s="43">
        <v>0</v>
      </c>
      <c r="W62" s="43">
        <v>12449191.09</v>
      </c>
      <c r="X62" s="43">
        <v>11802445371.25</v>
      </c>
      <c r="Y62" s="43">
        <v>58000000</v>
      </c>
      <c r="Z62" s="43">
        <v>44253852.039999999</v>
      </c>
      <c r="AA62" s="43">
        <v>8674929758.7199993</v>
      </c>
      <c r="AB62" s="43">
        <v>7926672.2599999905</v>
      </c>
      <c r="AC62" s="43">
        <v>0</v>
      </c>
      <c r="AD62" s="43">
        <v>3017335088.2300005</v>
      </c>
      <c r="AE62" s="51"/>
      <c r="AF62" s="51"/>
      <c r="AG62" s="51"/>
    </row>
    <row r="63" spans="1:33" ht="12.75" customHeight="1">
      <c r="A63" s="40" t="s">
        <v>174</v>
      </c>
      <c r="B63" s="41">
        <v>3004</v>
      </c>
      <c r="C63" s="42" t="s">
        <v>417</v>
      </c>
      <c r="D63" s="43">
        <v>61920116534.459999</v>
      </c>
      <c r="E63" s="43">
        <v>120485913</v>
      </c>
      <c r="F63" s="43">
        <v>6157358943</v>
      </c>
      <c r="G63" s="43">
        <v>626199</v>
      </c>
      <c r="H63" s="43">
        <v>96079049</v>
      </c>
      <c r="I63" s="43">
        <v>53793707274.099998</v>
      </c>
      <c r="J63" s="43">
        <v>1078287073</v>
      </c>
      <c r="K63" s="43">
        <v>363045964</v>
      </c>
      <c r="L63" s="43">
        <v>310526119.36000001</v>
      </c>
      <c r="M63" s="43">
        <v>0</v>
      </c>
      <c r="N63" s="43">
        <v>406984115381</v>
      </c>
      <c r="O63" s="43">
        <v>207211474</v>
      </c>
      <c r="P63" s="43">
        <v>406163386603</v>
      </c>
      <c r="Q63" s="43">
        <v>0</v>
      </c>
      <c r="R63" s="43">
        <v>0</v>
      </c>
      <c r="S63" s="43">
        <v>321993200</v>
      </c>
      <c r="T63" s="43">
        <v>0</v>
      </c>
      <c r="U63" s="43">
        <v>291524104</v>
      </c>
      <c r="V63" s="43">
        <v>0</v>
      </c>
      <c r="W63" s="43">
        <v>0</v>
      </c>
      <c r="X63" s="43">
        <v>13019573085</v>
      </c>
      <c r="Y63" s="43">
        <v>430000000</v>
      </c>
      <c r="Z63" s="43">
        <v>152751617</v>
      </c>
      <c r="AA63" s="43">
        <v>8754851699</v>
      </c>
      <c r="AB63" s="43">
        <v>144010441</v>
      </c>
      <c r="AC63" s="43">
        <v>0</v>
      </c>
      <c r="AD63" s="43">
        <v>3537959328</v>
      </c>
      <c r="AE63" s="51"/>
      <c r="AF63" s="51"/>
      <c r="AG63" s="51"/>
    </row>
    <row r="64" spans="1:33" ht="12.75" customHeight="1">
      <c r="A64" s="40" t="s">
        <v>16</v>
      </c>
      <c r="B64" s="41">
        <v>3005</v>
      </c>
      <c r="C64" s="42" t="s">
        <v>417</v>
      </c>
      <c r="D64" s="43">
        <v>1234506218.060008</v>
      </c>
      <c r="E64" s="43">
        <v>16930503.23</v>
      </c>
      <c r="F64" s="43">
        <v>207741607.270008</v>
      </c>
      <c r="G64" s="43">
        <v>3052428.37</v>
      </c>
      <c r="H64" s="43">
        <v>18705897.625</v>
      </c>
      <c r="I64" s="43">
        <v>892515504.06000006</v>
      </c>
      <c r="J64" s="43">
        <v>79200280.394999981</v>
      </c>
      <c r="K64" s="43">
        <v>8025228.7400000002</v>
      </c>
      <c r="L64" s="43">
        <v>6499477.4000000004</v>
      </c>
      <c r="M64" s="43">
        <v>1835290.97</v>
      </c>
      <c r="N64" s="43">
        <v>14557166243.1</v>
      </c>
      <c r="O64" s="43">
        <v>52042513.840000004</v>
      </c>
      <c r="P64" s="43">
        <v>14342022976.58</v>
      </c>
      <c r="Q64" s="43">
        <v>0</v>
      </c>
      <c r="R64" s="43">
        <v>57016.55</v>
      </c>
      <c r="S64" s="43">
        <v>148349561.76999998</v>
      </c>
      <c r="T64" s="43">
        <v>0</v>
      </c>
      <c r="U64" s="43">
        <v>14694174.359999999</v>
      </c>
      <c r="V64" s="43">
        <v>0</v>
      </c>
      <c r="W64" s="43">
        <v>0</v>
      </c>
      <c r="X64" s="43">
        <v>1016642026.4444909</v>
      </c>
      <c r="Y64" s="43">
        <v>30000000</v>
      </c>
      <c r="Z64" s="43">
        <v>0</v>
      </c>
      <c r="AA64" s="43">
        <v>640832123.65999997</v>
      </c>
      <c r="AB64" s="43">
        <v>0.02</v>
      </c>
      <c r="AC64" s="43">
        <v>0</v>
      </c>
      <c r="AD64" s="43">
        <v>345809902.76449102</v>
      </c>
      <c r="AE64" s="51"/>
      <c r="AF64" s="51"/>
      <c r="AG64" s="51"/>
    </row>
    <row r="65" spans="1:33" ht="12.75" customHeight="1">
      <c r="A65" s="40" t="s">
        <v>179</v>
      </c>
      <c r="B65" s="41">
        <v>3006</v>
      </c>
      <c r="C65" s="42" t="s">
        <v>417</v>
      </c>
      <c r="D65" s="43">
        <v>15925483332.83</v>
      </c>
      <c r="E65" s="43">
        <v>98693038.430000007</v>
      </c>
      <c r="F65" s="43">
        <v>4546049154.7700005</v>
      </c>
      <c r="G65" s="43">
        <v>124775121.78999999</v>
      </c>
      <c r="H65" s="43">
        <v>200734303.71000001</v>
      </c>
      <c r="I65" s="43">
        <v>8015128547.9199991</v>
      </c>
      <c r="J65" s="43">
        <v>1442173953.0799999</v>
      </c>
      <c r="K65" s="43">
        <v>571745085.67999995</v>
      </c>
      <c r="L65" s="43">
        <v>812248644.36000001</v>
      </c>
      <c r="M65" s="43">
        <v>113935483.09</v>
      </c>
      <c r="N65" s="43">
        <v>492911997284.88</v>
      </c>
      <c r="O65" s="43">
        <v>197270610.66</v>
      </c>
      <c r="P65" s="43">
        <v>447488622556.31</v>
      </c>
      <c r="Q65" s="43">
        <v>0</v>
      </c>
      <c r="R65" s="43">
        <v>0</v>
      </c>
      <c r="S65" s="43">
        <v>44883241181.780006</v>
      </c>
      <c r="T65" s="43">
        <v>60884537.729999997</v>
      </c>
      <c r="U65" s="43">
        <v>281978398.39999998</v>
      </c>
      <c r="V65" s="43">
        <v>0</v>
      </c>
      <c r="W65" s="43">
        <v>0</v>
      </c>
      <c r="X65" s="43">
        <v>12051863687.82</v>
      </c>
      <c r="Y65" s="43">
        <v>180000000</v>
      </c>
      <c r="Z65" s="43">
        <v>-116757151.55</v>
      </c>
      <c r="AA65" s="43">
        <v>8136979950.2900009</v>
      </c>
      <c r="AB65" s="43">
        <v>0</v>
      </c>
      <c r="AC65" s="43">
        <v>0</v>
      </c>
      <c r="AD65" s="43">
        <v>3851640889.0799999</v>
      </c>
      <c r="AE65" s="51"/>
      <c r="AF65" s="51"/>
      <c r="AG65" s="51"/>
    </row>
    <row r="66" spans="1:33" ht="12.75" customHeight="1">
      <c r="A66" s="40" t="s">
        <v>182</v>
      </c>
      <c r="B66" s="41">
        <v>3007</v>
      </c>
      <c r="C66" s="42" t="s">
        <v>417</v>
      </c>
      <c r="D66" s="43">
        <v>605903898.73000014</v>
      </c>
      <c r="E66" s="43">
        <v>1296108.33</v>
      </c>
      <c r="F66" s="43">
        <v>221213235.47</v>
      </c>
      <c r="G66" s="43">
        <v>0</v>
      </c>
      <c r="H66" s="43">
        <v>27507033.400000002</v>
      </c>
      <c r="I66" s="43">
        <v>258035677.25</v>
      </c>
      <c r="J66" s="43">
        <v>29729570.820000004</v>
      </c>
      <c r="K66" s="43">
        <v>51674926.259999998</v>
      </c>
      <c r="L66" s="43">
        <v>12754470.76</v>
      </c>
      <c r="M66" s="43">
        <v>3692876.44</v>
      </c>
      <c r="N66" s="43">
        <v>12303275172.440001</v>
      </c>
      <c r="O66" s="43">
        <v>0</v>
      </c>
      <c r="P66" s="43">
        <v>11569430679.01</v>
      </c>
      <c r="Q66" s="43">
        <v>0</v>
      </c>
      <c r="R66" s="43">
        <v>0</v>
      </c>
      <c r="S66" s="43">
        <v>730942055.01000011</v>
      </c>
      <c r="T66" s="43">
        <v>0</v>
      </c>
      <c r="U66" s="43">
        <v>2902438.42</v>
      </c>
      <c r="V66" s="43">
        <v>0</v>
      </c>
      <c r="W66" s="43">
        <v>0</v>
      </c>
      <c r="X66" s="43">
        <v>818364476.95000005</v>
      </c>
      <c r="Y66" s="43">
        <v>74874831.159999996</v>
      </c>
      <c r="Z66" s="43">
        <v>4863698.3099999996</v>
      </c>
      <c r="AA66" s="43">
        <v>632797325.53999996</v>
      </c>
      <c r="AB66" s="43">
        <v>0</v>
      </c>
      <c r="AC66" s="43">
        <v>0</v>
      </c>
      <c r="AD66" s="43">
        <v>105828621.94</v>
      </c>
      <c r="AE66" s="51"/>
      <c r="AF66" s="51"/>
      <c r="AG66" s="51"/>
    </row>
    <row r="67" spans="1:33" ht="12.75" customHeight="1">
      <c r="A67" s="40" t="s">
        <v>184</v>
      </c>
      <c r="B67" s="41">
        <v>3008</v>
      </c>
      <c r="C67" s="42" t="s">
        <v>417</v>
      </c>
      <c r="D67" s="43">
        <v>2005976885.4099991</v>
      </c>
      <c r="E67" s="43">
        <v>32251713.350000001</v>
      </c>
      <c r="F67" s="43">
        <v>599467800.2099992</v>
      </c>
      <c r="G67" s="43">
        <v>7147808.2700000182</v>
      </c>
      <c r="H67" s="43">
        <v>26641433.809999991</v>
      </c>
      <c r="I67" s="43">
        <v>1094866284.1700001</v>
      </c>
      <c r="J67" s="43">
        <v>93850095.939999923</v>
      </c>
      <c r="K67" s="43">
        <v>150496845.95000005</v>
      </c>
      <c r="L67" s="43">
        <v>0</v>
      </c>
      <c r="M67" s="43">
        <v>1254903.709999999</v>
      </c>
      <c r="N67" s="43">
        <v>41977779479.889999</v>
      </c>
      <c r="O67" s="43">
        <v>28486978.590000004</v>
      </c>
      <c r="P67" s="43">
        <v>40322652038.190002</v>
      </c>
      <c r="Q67" s="43">
        <v>0</v>
      </c>
      <c r="R67" s="43">
        <v>0</v>
      </c>
      <c r="S67" s="43">
        <v>1599170576.8499997</v>
      </c>
      <c r="T67" s="43">
        <v>0</v>
      </c>
      <c r="U67" s="43">
        <v>27469886.26000002</v>
      </c>
      <c r="V67" s="43">
        <v>0</v>
      </c>
      <c r="W67" s="43">
        <v>0</v>
      </c>
      <c r="X67" s="43">
        <v>1557411067.6699834</v>
      </c>
      <c r="Y67" s="43">
        <v>650122003</v>
      </c>
      <c r="Z67" s="43">
        <v>0</v>
      </c>
      <c r="AA67" s="43">
        <v>205686249.50999996</v>
      </c>
      <c r="AB67" s="43">
        <v>405045879.75000012</v>
      </c>
      <c r="AC67" s="43">
        <v>-215656435.05999994</v>
      </c>
      <c r="AD67" s="43">
        <v>512213370.46998298</v>
      </c>
      <c r="AE67" s="51"/>
      <c r="AF67" s="51"/>
      <c r="AG67" s="51"/>
    </row>
    <row r="68" spans="1:33" ht="12.75" customHeight="1">
      <c r="A68" s="40" t="s">
        <v>186</v>
      </c>
      <c r="B68" s="41">
        <v>3009</v>
      </c>
      <c r="C68" s="42" t="s">
        <v>417</v>
      </c>
      <c r="D68" s="43">
        <v>6032746472.4310884</v>
      </c>
      <c r="E68" s="43">
        <v>27655115</v>
      </c>
      <c r="F68" s="43">
        <v>826166393.34507895</v>
      </c>
      <c r="G68" s="43">
        <v>8699663</v>
      </c>
      <c r="H68" s="43">
        <v>24889535.90601005</v>
      </c>
      <c r="I68" s="43">
        <v>4187121222.1999998</v>
      </c>
      <c r="J68" s="43">
        <v>532434628</v>
      </c>
      <c r="K68" s="43">
        <v>0</v>
      </c>
      <c r="L68" s="43">
        <v>328267558.26999998</v>
      </c>
      <c r="M68" s="43">
        <v>97512356.709999993</v>
      </c>
      <c r="N68" s="43">
        <v>16747416740.790001</v>
      </c>
      <c r="O68" s="43">
        <v>98946732</v>
      </c>
      <c r="P68" s="43">
        <v>7248896398.7999992</v>
      </c>
      <c r="Q68" s="43">
        <v>0</v>
      </c>
      <c r="R68" s="43">
        <v>0</v>
      </c>
      <c r="S68" s="43">
        <v>9281471806.3900013</v>
      </c>
      <c r="T68" s="43">
        <v>0</v>
      </c>
      <c r="U68" s="43">
        <v>72171464</v>
      </c>
      <c r="V68" s="43">
        <v>0</v>
      </c>
      <c r="W68" s="43">
        <v>45930339.600000001</v>
      </c>
      <c r="X68" s="43">
        <v>4885826981.2700005</v>
      </c>
      <c r="Y68" s="43">
        <v>45000000</v>
      </c>
      <c r="Z68" s="43">
        <v>0</v>
      </c>
      <c r="AA68" s="43">
        <v>263934081.27000001</v>
      </c>
      <c r="AB68" s="43">
        <v>2015717449</v>
      </c>
      <c r="AC68" s="43">
        <v>0</v>
      </c>
      <c r="AD68" s="43">
        <v>2561175451</v>
      </c>
      <c r="AE68" s="51"/>
      <c r="AF68" s="51"/>
      <c r="AG68" s="51"/>
    </row>
    <row r="69" spans="1:33" ht="12.75" customHeight="1">
      <c r="A69" s="40" t="s">
        <v>188</v>
      </c>
      <c r="B69" s="41">
        <v>3011</v>
      </c>
      <c r="C69" s="42" t="s">
        <v>417</v>
      </c>
      <c r="D69" s="43">
        <v>2520887995.71</v>
      </c>
      <c r="E69" s="43">
        <v>1727027.9699999997</v>
      </c>
      <c r="F69" s="43">
        <v>1044721188.8799996</v>
      </c>
      <c r="G69" s="43">
        <v>1606494.7399999984</v>
      </c>
      <c r="H69" s="43">
        <v>27110253.880000003</v>
      </c>
      <c r="I69" s="43">
        <v>1199712850.04</v>
      </c>
      <c r="J69" s="43">
        <v>130647803.05000004</v>
      </c>
      <c r="K69" s="43">
        <v>99498852.880000025</v>
      </c>
      <c r="L69" s="43">
        <v>14181337.080000002</v>
      </c>
      <c r="M69" s="43">
        <v>1682187.1899999995</v>
      </c>
      <c r="N69" s="43">
        <v>40287654426.989998</v>
      </c>
      <c r="O69" s="43">
        <v>0</v>
      </c>
      <c r="P69" s="43">
        <v>38804439048.089996</v>
      </c>
      <c r="Q69" s="43">
        <v>0</v>
      </c>
      <c r="R69" s="43">
        <v>0</v>
      </c>
      <c r="S69" s="43">
        <v>1468602546.8999999</v>
      </c>
      <c r="T69" s="43">
        <v>0</v>
      </c>
      <c r="U69" s="43">
        <v>14612832</v>
      </c>
      <c r="V69" s="43">
        <v>0</v>
      </c>
      <c r="W69" s="43">
        <v>0</v>
      </c>
      <c r="X69" s="43">
        <v>1051702420.0799999</v>
      </c>
      <c r="Y69" s="43">
        <v>20000000</v>
      </c>
      <c r="Z69" s="43">
        <v>0</v>
      </c>
      <c r="AA69" s="43">
        <v>128301246.85999998</v>
      </c>
      <c r="AB69" s="43">
        <v>454718112.09000003</v>
      </c>
      <c r="AC69" s="43">
        <v>0</v>
      </c>
      <c r="AD69" s="43">
        <v>448683061.12999988</v>
      </c>
      <c r="AE69" s="51"/>
      <c r="AF69" s="51"/>
      <c r="AG69" s="51"/>
    </row>
    <row r="70" spans="1:33" ht="12.75" customHeight="1">
      <c r="A70" s="40" t="s">
        <v>191</v>
      </c>
      <c r="B70" s="41">
        <v>3012</v>
      </c>
      <c r="C70" s="42" t="s">
        <v>417</v>
      </c>
      <c r="D70" s="43">
        <v>387304485714.06</v>
      </c>
      <c r="E70" s="43">
        <v>24448805.109999999</v>
      </c>
      <c r="F70" s="43">
        <v>381203173146.04004</v>
      </c>
      <c r="G70" s="43">
        <v>538924.29</v>
      </c>
      <c r="H70" s="43">
        <v>136884914.69</v>
      </c>
      <c r="I70" s="43">
        <v>3796480904.2900004</v>
      </c>
      <c r="J70" s="43">
        <v>1064048235.3799999</v>
      </c>
      <c r="K70" s="43">
        <v>30578603.940000001</v>
      </c>
      <c r="L70" s="43">
        <v>1048332180.3199999</v>
      </c>
      <c r="M70" s="43">
        <v>0</v>
      </c>
      <c r="N70" s="43">
        <v>15783412851.239996</v>
      </c>
      <c r="O70" s="43">
        <v>1675830.4700000002</v>
      </c>
      <c r="P70" s="43">
        <v>0</v>
      </c>
      <c r="Q70" s="43">
        <v>0</v>
      </c>
      <c r="R70" s="43">
        <v>0</v>
      </c>
      <c r="S70" s="43">
        <v>15681190879.289997</v>
      </c>
      <c r="T70" s="43">
        <v>10257823</v>
      </c>
      <c r="U70" s="43">
        <v>90288318.480000004</v>
      </c>
      <c r="V70" s="43">
        <v>0</v>
      </c>
      <c r="W70" s="43">
        <v>0</v>
      </c>
      <c r="X70" s="43">
        <v>9553833763.9599991</v>
      </c>
      <c r="Y70" s="43">
        <v>503084445.04000002</v>
      </c>
      <c r="Z70" s="43">
        <v>0</v>
      </c>
      <c r="AA70" s="43">
        <v>4354836177.3199997</v>
      </c>
      <c r="AB70" s="43">
        <v>0</v>
      </c>
      <c r="AC70" s="43">
        <v>0</v>
      </c>
      <c r="AD70" s="43">
        <v>4695913141.5999994</v>
      </c>
      <c r="AE70" s="51"/>
      <c r="AF70" s="51"/>
      <c r="AG70" s="51"/>
    </row>
    <row r="71" spans="1:33" ht="12.75" customHeight="1">
      <c r="A71" s="40" t="s">
        <v>194</v>
      </c>
      <c r="B71" s="41">
        <v>3016</v>
      </c>
      <c r="C71" s="42" t="s">
        <v>417</v>
      </c>
      <c r="D71" s="43">
        <v>4827027968.627862</v>
      </c>
      <c r="E71" s="43">
        <v>17025957.48</v>
      </c>
      <c r="F71" s="43">
        <v>882835365.05786097</v>
      </c>
      <c r="G71" s="43">
        <v>744001.6</v>
      </c>
      <c r="H71" s="43">
        <v>127096350.37</v>
      </c>
      <c r="I71" s="43">
        <v>3238904791.8900003</v>
      </c>
      <c r="J71" s="43">
        <v>185417747.13999999</v>
      </c>
      <c r="K71" s="43">
        <v>372484124</v>
      </c>
      <c r="L71" s="43">
        <v>5932137.5999999996</v>
      </c>
      <c r="M71" s="43">
        <v>-3412506.51</v>
      </c>
      <c r="N71" s="43">
        <v>73312592583.500015</v>
      </c>
      <c r="O71" s="43">
        <v>11326546.640000001</v>
      </c>
      <c r="P71" s="43">
        <v>72855370952.320007</v>
      </c>
      <c r="Q71" s="43">
        <v>0</v>
      </c>
      <c r="R71" s="43">
        <v>0</v>
      </c>
      <c r="S71" s="43">
        <v>421807262.69</v>
      </c>
      <c r="T71" s="43">
        <v>0</v>
      </c>
      <c r="U71" s="43">
        <v>24087821.850000001</v>
      </c>
      <c r="V71" s="43">
        <v>0</v>
      </c>
      <c r="W71" s="43">
        <v>0</v>
      </c>
      <c r="X71" s="43">
        <v>2489158488.0999999</v>
      </c>
      <c r="Y71" s="43">
        <v>1000000000</v>
      </c>
      <c r="Z71" s="43">
        <v>0</v>
      </c>
      <c r="AA71" s="43">
        <v>124810413.35999998</v>
      </c>
      <c r="AB71" s="43">
        <v>949268224.13999999</v>
      </c>
      <c r="AC71" s="43">
        <v>-16676657.1</v>
      </c>
      <c r="AD71" s="43">
        <v>431756507.69999999</v>
      </c>
      <c r="AE71" s="51"/>
      <c r="AF71" s="51"/>
      <c r="AG71" s="51"/>
    </row>
    <row r="72" spans="1:33" ht="12.75" customHeight="1">
      <c r="A72" s="40" t="s">
        <v>197</v>
      </c>
      <c r="B72" s="41">
        <v>3017</v>
      </c>
      <c r="C72" s="42" t="s">
        <v>417</v>
      </c>
      <c r="D72" s="43">
        <v>39548682993.550148</v>
      </c>
      <c r="E72" s="43">
        <v>31286599.079999998</v>
      </c>
      <c r="F72" s="43">
        <v>30486276116.370029</v>
      </c>
      <c r="G72" s="43">
        <v>2330769157.1399999</v>
      </c>
      <c r="H72" s="43">
        <v>9120070.599999994</v>
      </c>
      <c r="I72" s="43">
        <v>5163699525.0001173</v>
      </c>
      <c r="J72" s="43">
        <v>4226353.4299999475</v>
      </c>
      <c r="K72" s="43">
        <v>1446504182.78</v>
      </c>
      <c r="L72" s="43">
        <v>76800989.150000006</v>
      </c>
      <c r="M72" s="43">
        <v>0</v>
      </c>
      <c r="N72" s="43">
        <v>2134423506.5098822</v>
      </c>
      <c r="O72" s="43">
        <v>80177622.74000001</v>
      </c>
      <c r="P72" s="43">
        <v>0</v>
      </c>
      <c r="Q72" s="43">
        <v>0</v>
      </c>
      <c r="R72" s="43">
        <v>0</v>
      </c>
      <c r="S72" s="43">
        <v>2020540199.2098823</v>
      </c>
      <c r="T72" s="43">
        <v>0</v>
      </c>
      <c r="U72" s="43">
        <v>33705684.560000002</v>
      </c>
      <c r="V72" s="43">
        <v>0</v>
      </c>
      <c r="W72" s="43">
        <v>0</v>
      </c>
      <c r="X72" s="43">
        <v>5469098411.029994</v>
      </c>
      <c r="Y72" s="43">
        <v>451006589</v>
      </c>
      <c r="Z72" s="43">
        <v>0</v>
      </c>
      <c r="AA72" s="43">
        <v>669383795.91999984</v>
      </c>
      <c r="AB72" s="43">
        <v>1841913905.9999995</v>
      </c>
      <c r="AC72" s="43">
        <v>0</v>
      </c>
      <c r="AD72" s="43">
        <v>2506794120.1099949</v>
      </c>
      <c r="AE72" s="51"/>
      <c r="AF72" s="51"/>
      <c r="AG72" s="51"/>
    </row>
    <row r="73" spans="1:33" ht="12.75" customHeight="1">
      <c r="A73" s="40" t="s">
        <v>14</v>
      </c>
      <c r="B73" s="41">
        <v>3018</v>
      </c>
      <c r="C73" s="42" t="s">
        <v>417</v>
      </c>
      <c r="D73" s="43">
        <v>30821800808.270004</v>
      </c>
      <c r="E73" s="43">
        <v>6043427930.0200005</v>
      </c>
      <c r="F73" s="43">
        <v>2310286711.7799997</v>
      </c>
      <c r="G73" s="43">
        <v>3000484023.1500001</v>
      </c>
      <c r="H73" s="43">
        <v>231345824.49000001</v>
      </c>
      <c r="I73" s="43">
        <v>13260741370.07</v>
      </c>
      <c r="J73" s="43">
        <v>2743300177.4400005</v>
      </c>
      <c r="K73" s="43">
        <v>3229090795.4400001</v>
      </c>
      <c r="L73" s="43">
        <v>0</v>
      </c>
      <c r="M73" s="43">
        <v>3123975.88</v>
      </c>
      <c r="N73" s="43">
        <v>528121647356.7002</v>
      </c>
      <c r="O73" s="43">
        <v>51895484.329999998</v>
      </c>
      <c r="P73" s="43">
        <v>516371625584.38013</v>
      </c>
      <c r="Q73" s="43">
        <v>0</v>
      </c>
      <c r="R73" s="43">
        <v>0</v>
      </c>
      <c r="S73" s="43">
        <v>11465160029.84</v>
      </c>
      <c r="T73" s="43">
        <v>0</v>
      </c>
      <c r="U73" s="43">
        <v>232966258.15000001</v>
      </c>
      <c r="V73" s="43">
        <v>0</v>
      </c>
      <c r="W73" s="43">
        <v>0</v>
      </c>
      <c r="X73" s="43">
        <v>39420406835.490067</v>
      </c>
      <c r="Y73" s="43">
        <v>10020102795.049999</v>
      </c>
      <c r="Z73" s="43">
        <v>152699782.11000001</v>
      </c>
      <c r="AA73" s="43">
        <v>18228022661.739998</v>
      </c>
      <c r="AB73" s="43">
        <v>11154929.630065918</v>
      </c>
      <c r="AC73" s="43">
        <v>0</v>
      </c>
      <c r="AD73" s="43">
        <v>11008426666.960007</v>
      </c>
      <c r="AE73" s="51"/>
      <c r="AF73" s="51"/>
      <c r="AG73" s="51"/>
    </row>
    <row r="74" spans="1:33" ht="12.75" customHeight="1">
      <c r="A74" s="40" t="s">
        <v>200</v>
      </c>
      <c r="B74" s="41">
        <v>4002</v>
      </c>
      <c r="C74" s="42" t="s">
        <v>418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51"/>
      <c r="AF74" s="51"/>
      <c r="AG74" s="51"/>
    </row>
    <row r="75" spans="1:33" ht="12.75" customHeight="1">
      <c r="A75" s="44" t="s">
        <v>201</v>
      </c>
      <c r="B75" s="45">
        <v>4003</v>
      </c>
      <c r="C75" s="42" t="s">
        <v>418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51"/>
      <c r="AF75" s="51"/>
      <c r="AG75" s="51"/>
    </row>
    <row r="76" spans="1:33" ht="12.75" customHeight="1">
      <c r="A76" s="44" t="s">
        <v>203</v>
      </c>
      <c r="B76" s="45">
        <v>4004</v>
      </c>
      <c r="C76" s="42" t="s">
        <v>418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51"/>
      <c r="AF76" s="51"/>
      <c r="AG76" s="51"/>
    </row>
    <row r="77" spans="1:33" ht="12.75" customHeight="1">
      <c r="A77" s="44" t="s">
        <v>204</v>
      </c>
      <c r="B77" s="45">
        <v>4005</v>
      </c>
      <c r="C77" s="42" t="s">
        <v>418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>
        <v>0</v>
      </c>
      <c r="AA77" s="43">
        <v>0</v>
      </c>
      <c r="AB77" s="43">
        <v>0</v>
      </c>
      <c r="AC77" s="43">
        <v>0</v>
      </c>
      <c r="AD77" s="43">
        <v>0</v>
      </c>
      <c r="AE77" s="51"/>
      <c r="AF77" s="51"/>
      <c r="AG77" s="51"/>
    </row>
    <row r="78" spans="1:33" ht="12.75" customHeight="1">
      <c r="A78" s="46" t="s">
        <v>19</v>
      </c>
      <c r="B78" s="47">
        <v>9000</v>
      </c>
      <c r="C78" s="42" t="s">
        <v>419</v>
      </c>
      <c r="D78" s="48">
        <v>1088160135996.5908</v>
      </c>
      <c r="E78" s="48">
        <v>16666529239.440001</v>
      </c>
      <c r="F78" s="48">
        <v>103286882609.15326</v>
      </c>
      <c r="G78" s="48">
        <v>4013163221.6261969</v>
      </c>
      <c r="H78" s="48">
        <v>25149883313.627831</v>
      </c>
      <c r="I78" s="48">
        <v>877754979111.9552</v>
      </c>
      <c r="J78" s="48">
        <v>24028342054.930054</v>
      </c>
      <c r="K78" s="48">
        <v>11880217358.529999</v>
      </c>
      <c r="L78" s="48">
        <v>24608138360.639984</v>
      </c>
      <c r="M78" s="48">
        <v>772000726.68838751</v>
      </c>
      <c r="N78" s="48">
        <v>36578130570.2742</v>
      </c>
      <c r="O78" s="48">
        <v>1842368900.0700002</v>
      </c>
      <c r="P78" s="48">
        <v>264417015.14000005</v>
      </c>
      <c r="Q78" s="48">
        <v>2833612.98</v>
      </c>
      <c r="R78" s="48">
        <v>581545274.74999988</v>
      </c>
      <c r="S78" s="48">
        <v>28314459782.004215</v>
      </c>
      <c r="T78" s="48">
        <v>0</v>
      </c>
      <c r="U78" s="48">
        <v>2925091325.7599988</v>
      </c>
      <c r="V78" s="48">
        <v>125325721.34999999</v>
      </c>
      <c r="W78" s="48">
        <v>2522088938.2199998</v>
      </c>
      <c r="X78" s="48">
        <v>394468052785.93372</v>
      </c>
      <c r="Y78" s="48">
        <v>62858144553.760002</v>
      </c>
      <c r="Z78" s="48">
        <v>6282643790.8299999</v>
      </c>
      <c r="AA78" s="48">
        <v>198306134155.91003</v>
      </c>
      <c r="AB78" s="48">
        <v>62448093844.850235</v>
      </c>
      <c r="AC78" s="48">
        <v>-2912119156.8400621</v>
      </c>
      <c r="AD78" s="48">
        <v>67485155597.423454</v>
      </c>
    </row>
    <row r="79" spans="1:33" ht="12.75" customHeight="1">
      <c r="A79" s="46" t="s">
        <v>20</v>
      </c>
      <c r="B79" s="47">
        <v>9001</v>
      </c>
      <c r="C79" s="42" t="s">
        <v>420</v>
      </c>
      <c r="D79" s="48">
        <v>566311081891.73926</v>
      </c>
      <c r="E79" s="48">
        <v>6813644427.0500011</v>
      </c>
      <c r="F79" s="48">
        <v>433645666855.16321</v>
      </c>
      <c r="G79" s="48">
        <v>5736927508.3199997</v>
      </c>
      <c r="H79" s="48">
        <v>1408629172.8410099</v>
      </c>
      <c r="I79" s="48">
        <v>107102802775.8501</v>
      </c>
      <c r="J79" s="48">
        <v>9715928071.2950001</v>
      </c>
      <c r="K79" s="48">
        <v>8442384941.3899994</v>
      </c>
      <c r="L79" s="48">
        <v>-6935107968.4000025</v>
      </c>
      <c r="M79" s="48">
        <v>380206108.22999996</v>
      </c>
      <c r="N79" s="48">
        <v>2178616489371.3896</v>
      </c>
      <c r="O79" s="48">
        <v>1189241096.1600001</v>
      </c>
      <c r="P79" s="48">
        <v>2001551891946.8599</v>
      </c>
      <c r="Q79" s="48">
        <v>0</v>
      </c>
      <c r="R79" s="48">
        <v>87872466.920000002</v>
      </c>
      <c r="S79" s="48">
        <v>152598221717.92987</v>
      </c>
      <c r="T79" s="48">
        <v>71142360.729999989</v>
      </c>
      <c r="U79" s="48">
        <v>1391670800.1799998</v>
      </c>
      <c r="V79" s="48">
        <v>21668069451.919998</v>
      </c>
      <c r="W79" s="48">
        <v>58379530.689999998</v>
      </c>
      <c r="X79" s="48">
        <v>117434254875.60452</v>
      </c>
      <c r="Y79" s="48">
        <v>17453945347.290001</v>
      </c>
      <c r="Z79" s="48">
        <v>600217018.91999996</v>
      </c>
      <c r="AA79" s="48">
        <v>57073591007.230003</v>
      </c>
      <c r="AB79" s="48">
        <v>6814353483.1500664</v>
      </c>
      <c r="AC79" s="48">
        <v>-591038059.13</v>
      </c>
      <c r="AD79" s="48">
        <v>36083186078.14447</v>
      </c>
    </row>
    <row r="80" spans="1:33" ht="12.75" customHeight="1">
      <c r="A80" s="46" t="s">
        <v>21</v>
      </c>
      <c r="B80" s="47">
        <v>9002</v>
      </c>
      <c r="C80" s="42" t="s">
        <v>421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</row>
    <row r="81" spans="1:30">
      <c r="A81" s="46" t="s">
        <v>22</v>
      </c>
      <c r="B81" s="47">
        <v>9003</v>
      </c>
      <c r="C81" s="42" t="s">
        <v>422</v>
      </c>
      <c r="D81" s="48">
        <v>1654471217888.3301</v>
      </c>
      <c r="E81" s="48">
        <v>23480173666.490002</v>
      </c>
      <c r="F81" s="48">
        <v>536932549464.31647</v>
      </c>
      <c r="G81" s="48">
        <v>9750090729.9461975</v>
      </c>
      <c r="H81" s="48">
        <v>26558512486.468842</v>
      </c>
      <c r="I81" s="48">
        <v>984857781887.8053</v>
      </c>
      <c r="J81" s="48">
        <v>33744270126.225052</v>
      </c>
      <c r="K81" s="48">
        <v>20322602299.919998</v>
      </c>
      <c r="L81" s="48">
        <v>17673030392.239983</v>
      </c>
      <c r="M81" s="48">
        <v>1152206834.9183874</v>
      </c>
      <c r="N81" s="48">
        <v>2215194619941.6641</v>
      </c>
      <c r="O81" s="48">
        <v>3031609996.2300005</v>
      </c>
      <c r="P81" s="48">
        <v>2001816308961.9998</v>
      </c>
      <c r="Q81" s="48">
        <v>2833612.98</v>
      </c>
      <c r="R81" s="48">
        <v>669417741.66999984</v>
      </c>
      <c r="S81" s="48">
        <v>180912681499.93408</v>
      </c>
      <c r="T81" s="48">
        <v>71142360.729999989</v>
      </c>
      <c r="U81" s="48">
        <v>4316762125.9399986</v>
      </c>
      <c r="V81" s="48">
        <v>21793395173.269997</v>
      </c>
      <c r="W81" s="48">
        <v>2580468468.9099998</v>
      </c>
      <c r="X81" s="48">
        <v>511902307661.53821</v>
      </c>
      <c r="Y81" s="48">
        <v>80312089901.050003</v>
      </c>
      <c r="Z81" s="48">
        <v>6882860809.75</v>
      </c>
      <c r="AA81" s="48">
        <v>255379725163.14005</v>
      </c>
      <c r="AB81" s="48">
        <v>69262447328.000305</v>
      </c>
      <c r="AC81" s="48">
        <v>-3503157215.9700623</v>
      </c>
      <c r="AD81" s="48">
        <v>103568341675.56793</v>
      </c>
    </row>
    <row r="82" spans="1:30">
      <c r="A82" s="49" t="s">
        <v>23</v>
      </c>
      <c r="B82" s="50"/>
      <c r="C82" s="42" t="s">
        <v>423</v>
      </c>
      <c r="D82" s="48">
        <v>1654471217888.3301</v>
      </c>
      <c r="E82" s="48">
        <v>23480173666.490002</v>
      </c>
      <c r="F82" s="48">
        <v>536932549464.31647</v>
      </c>
      <c r="G82" s="48">
        <v>9750090729.9461975</v>
      </c>
      <c r="H82" s="48">
        <v>26558512486.468842</v>
      </c>
      <c r="I82" s="48">
        <v>984857781887.8053</v>
      </c>
      <c r="J82" s="48">
        <v>33744270126.225052</v>
      </c>
      <c r="K82" s="48">
        <v>20322602299.919998</v>
      </c>
      <c r="L82" s="48">
        <v>17673030392.239983</v>
      </c>
      <c r="M82" s="48">
        <v>1152206834.9183874</v>
      </c>
      <c r="N82" s="48">
        <v>2215194619941.6641</v>
      </c>
      <c r="O82" s="48">
        <v>3031609996.2300005</v>
      </c>
      <c r="P82" s="48">
        <v>2001816308961.9998</v>
      </c>
      <c r="Q82" s="48">
        <v>2833612.98</v>
      </c>
      <c r="R82" s="48">
        <v>669417741.66999984</v>
      </c>
      <c r="S82" s="48">
        <v>180912681499.93408</v>
      </c>
      <c r="T82" s="48">
        <v>71142360.729999989</v>
      </c>
      <c r="U82" s="48">
        <v>4316762125.9399986</v>
      </c>
      <c r="V82" s="48">
        <v>21793395173.269997</v>
      </c>
      <c r="W82" s="48">
        <v>2580468468.9099998</v>
      </c>
      <c r="X82" s="48">
        <v>511902307661.53821</v>
      </c>
      <c r="Y82" s="48">
        <v>80312089901.050003</v>
      </c>
      <c r="Z82" s="48">
        <v>6882860809.75</v>
      </c>
      <c r="AA82" s="48">
        <v>255379725163.14005</v>
      </c>
      <c r="AB82" s="48">
        <v>69262447328.000305</v>
      </c>
      <c r="AC82" s="48">
        <v>-3503157215.9700623</v>
      </c>
      <c r="AD82" s="48">
        <v>103568341675.56793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1</vt:i4>
      </vt:variant>
    </vt:vector>
  </HeadingPairs>
  <TitlesOfParts>
    <vt:vector size="6" baseType="lpstr">
      <vt:lpstr>Bilanço</vt:lpstr>
      <vt:lpstr>Aktif Detay</vt:lpstr>
      <vt:lpstr>Aktif Ozet</vt:lpstr>
      <vt:lpstr>Pasif Detay</vt:lpstr>
      <vt:lpstr>Pasif Ozet</vt:lpstr>
      <vt:lpstr>Şirketler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Güner Ayyildiz</dc:creator>
  <cp:lastModifiedBy>Güner Ayyildiz</cp:lastModifiedBy>
  <dcterms:created xsi:type="dcterms:W3CDTF">2026-08-11T12:09:49Z</dcterms:created>
  <dcterms:modified xsi:type="dcterms:W3CDTF">2026-08-11T12:48:22Z</dcterms:modified>
</cp:coreProperties>
</file>